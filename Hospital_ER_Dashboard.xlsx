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bhanu\Downloads\Dashboard\"/>
    </mc:Choice>
  </mc:AlternateContent>
  <xr:revisionPtr revIDLastSave="0" documentId="13_ncr:1_{30E4DC5E-F871-4E09-8D15-4A8BEA4B762D}" xr6:coauthVersionLast="47" xr6:coauthVersionMax="47" xr10:uidLastSave="{00000000-0000-0000-0000-000000000000}"/>
  <bookViews>
    <workbookView xWindow="-108" yWindow="-108" windowWidth="23256" windowHeight="12456" activeTab="1" xr2:uid="{4F8E9350-F67A-40C6-9F7B-F88ECC0648B8}"/>
  </bookViews>
  <sheets>
    <sheet name="Pivot Report" sheetId="1" r:id="rId1"/>
    <sheet name="Dashboard" sheetId="2" r:id="rId2"/>
    <sheet name="Daily ER visit" sheetId="3" r:id="rId3"/>
    <sheet name="Avg Wait time" sheetId="4" r:id="rId4"/>
    <sheet name="Satisfaction score" sheetId="5" r:id="rId5"/>
  </sheets>
  <definedNames>
    <definedName name="Slicer_Date__Month">#N/A</definedName>
    <definedName name="Slicer_Date__Year">#N/A</definedName>
  </definedNames>
  <calcPr calcId="191029"/>
  <pivotCaches>
    <pivotCache cacheId="908" r:id="rId6"/>
    <pivotCache cacheId="911" r:id="rId7"/>
    <pivotCache cacheId="914" r:id="rId8"/>
    <pivotCache cacheId="917" r:id="rId9"/>
    <pivotCache cacheId="920" r:id="rId10"/>
    <pivotCache cacheId="923" r:id="rId11"/>
    <pivotCache cacheId="926" r:id="rId12"/>
    <pivotCache cacheId="929" r:id="rId13"/>
    <pivotCache cacheId="932" r:id="rId14"/>
    <pivotCache cacheId="935" r:id="rId15"/>
    <pivotCache cacheId="938" r:id="rId16"/>
    <pivotCache cacheId="941" r:id="rId17"/>
  </pivotCaches>
  <extLst>
    <ext xmlns:x14="http://schemas.microsoft.com/office/spreadsheetml/2009/9/main" uri="{876F7934-8845-4945-9796-88D515C7AA90}">
      <x14:pivotCaches>
        <pivotCache cacheId="49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9d61044-4de7-4a28-9764-25ea8ed4c475" name="Hospital Emergency Room Data" connection="Query - Hospital Emergency Room Data"/>
          <x15:modelTable id="Calender Table_7f8abde0-f434-43fc-a85b-744897727fa7"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Month Index)" columnId="Date (Month Index)" contentType="monthsindex" isSelected="0"/>
                <x16:calculatedTimeColumn columnName="Date (Month)" columnId="Date (Month)" contentType="months" isSelected="0"/>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7" i="1" l="1"/>
  <c r="D27" i="1"/>
  <c r="E27" i="1"/>
  <c r="D28" i="1"/>
  <c r="E28" i="1"/>
  <c r="C2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ACAFFC-EB18-4A4D-BE03-EF5D494C3373}" name="Query - Calender Table" description="Connection to the 'Calender Table' query in the workbook." type="100" refreshedVersion="8" minRefreshableVersion="5">
    <extLst>
      <ext xmlns:x15="http://schemas.microsoft.com/office/spreadsheetml/2010/11/main" uri="{DE250136-89BD-433C-8126-D09CA5730AF9}">
        <x15:connection id="3e3f75c8-db50-4699-b69c-ab7867ac8401"/>
      </ext>
    </extLst>
  </connection>
  <connection id="2" xr16:uid="{EA6C2E73-C16B-4620-935A-3A448AEBC3A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c5379b8c-0a77-43ea-b150-8bc373a75cc3">
          <x15:oledbPr connection="Provider=Microsoft.Mashup.OleDb.1;Data Source=$Workbook$;Location=&quot;Hospital Emergency Room Data&quot;;Extended Properties=&quot;&quot;">
            <x15:dbTables>
              <x15:dbTable name="Hospital Emergency Room Data"/>
            </x15:dbTables>
          </x15:oledbPr>
        </x15:connection>
      </ext>
    </extLst>
  </connection>
  <connection id="3" xr16:uid="{C7D27B75-6604-4160-B120-0D122223AA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<sst xmlns="http://schemas.openxmlformats.org/spreadsheetml/2006/main" count="160" uniqueCount="80">
  <si>
    <t>Average of Patient Waittime</t>
  </si>
  <si>
    <t>Average of Patient Satisfaction Score</t>
  </si>
  <si>
    <t>Total Patient</t>
  </si>
  <si>
    <t xml:space="preserve">            </t>
  </si>
  <si>
    <t>Row Labels</t>
  </si>
  <si>
    <t>Grand Total</t>
  </si>
  <si>
    <t>2023</t>
  </si>
  <si>
    <t>2024</t>
  </si>
  <si>
    <t>Date (Day)</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</si>
  <si>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</si>
  <si>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</si>
  <si>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</si>
  <si>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</si>
  <si>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</si>
  <si>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</si>
  <si>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</si>
  <si>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</si>
  <si>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</si>
  <si>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</si>
  <si>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</si>
  <si>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</si>
  <si>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</si>
  <si>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</si>
  <si>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</si>
  <si>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</si>
  <si>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</si>
  <si>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</si>
  <si>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</si>
  <si>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</si>
  <si>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</si>
  <si>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</si>
  <si>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</si>
  <si>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</si>
  <si>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</si>
  <si>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</si>
  <si>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</si>
  <si>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</si>
  <si>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</si>
  <si>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</si>
  <si>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</si>
  <si>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Show a dail trend with an areas arkline tos ot atterns like bus da sor se</t>
  </si>
  <si>
    <t>I trends.</t>
  </si>
  <si>
    <t xml:space="preserve">                  </t>
  </si>
  <si>
    <t>Daily trends of no of patient visiting</t>
  </si>
  <si>
    <t>Average wait time daily trend</t>
  </si>
  <si>
    <t>Avg Wait time</t>
  </si>
  <si>
    <t>Satisfaction score daily trend</t>
  </si>
  <si>
    <t>Daily Satisfaction Score Trend</t>
  </si>
  <si>
    <t>Count of Patient Admission Flag</t>
  </si>
  <si>
    <t>Admitted</t>
  </si>
  <si>
    <t>Not Admitted</t>
  </si>
  <si>
    <t>Count of Patient Admission Flag2</t>
  </si>
  <si>
    <t>Admission Status</t>
  </si>
  <si>
    <t>%status</t>
  </si>
  <si>
    <t>Patient</t>
  </si>
  <si>
    <t>Chart</t>
  </si>
  <si>
    <t>0-10</t>
  </si>
  <si>
    <t>10-20</t>
  </si>
  <si>
    <t>20-30</t>
  </si>
  <si>
    <t>30-40</t>
  </si>
  <si>
    <t>40-50</t>
  </si>
  <si>
    <t>50-60</t>
  </si>
  <si>
    <t>60-70</t>
  </si>
  <si>
    <t>70-80</t>
  </si>
  <si>
    <t>Count of Age Group</t>
  </si>
  <si>
    <t>Delayed</t>
  </si>
  <si>
    <t>On 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</si>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</sst>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theme="1"/>
      <name val="Calibri"/>
      <family val="2"/>
      <scheme val="minor"/>
    </font>
    <font>
      <b/>
      <sz val="9"/>
      <color theme="0"/>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1" tint="0.499984740745262"/>
        <bgColor indexed="64"/>
      </patternFill>
    </fill>
    <fill>
      <patternFill patternType="solid">
        <fgColor theme="8"/>
        <bgColor indexed="64"/>
      </patternFill>
    </fill>
  </fills>
  <borders count="1">
    <border>
      <left/>
      <right/>
      <top/>
      <bottom/>
      <diagonal/>
    </border>
  </borders>
  <cellStyleXfs count="1">
    <xf numFmtId="0" fontId="0" fillId="0" borderId="0"/>
  </cellStyleXfs>
  <cellXfs count="17">
    <xf numFmtId="0" fontId="0" fillId="0" borderId="0" xfId="0"/>
    <xf numFmtId="2" fontId="0" fillId="0" borderId="0" xfId="0" applyNumberFormat="1"/>
    <xf numFmtId="0" fontId="0" fillId="2" borderId="0" xfId="0" applyFill="1"/>
    <xf numFmtId="0"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3" borderId="0" xfId="0" applyFill="1"/>
    <xf numFmtId="10" fontId="0" fillId="0" borderId="0" xfId="0" applyNumberFormat="1"/>
    <xf numFmtId="0" fontId="2" fillId="0" borderId="0" xfId="0" applyFont="1" applyAlignment="1">
      <alignment horizontal="center"/>
    </xf>
    <xf numFmtId="10" fontId="2" fillId="0" borderId="0" xfId="0" applyNumberFormat="1" applyFont="1" applyAlignment="1">
      <alignment horizontal="center"/>
    </xf>
    <xf numFmtId="0" fontId="3" fillId="4" borderId="0" xfId="0" applyFont="1" applyFill="1"/>
    <xf numFmtId="1"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10" fontId="0" fillId="0" borderId="0" xfId="0" applyNumberFormat="1" applyAlignment="1">
      <alignment horizontal="center" vertical="center"/>
    </xf>
  </cellXfs>
  <cellStyles count="1">
    <cellStyle name="Normal" xfId="0" builtinId="0"/>
  </cellStyles>
  <dxfs count="235">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2" formatCode="0.00"/>
    </dxf>
    <dxf>
      <numFmt numFmtId="1" formatCode="0"/>
    </dxf>
    <dxf>
      <numFmt numFmtId="1" formatCode="0"/>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A94DDE44-E953-4A75-85DE-FA049518474B}" type="CELLRANGE">
                  <a:rPr lang="en-US"/>
                  <a:pPr>
                    <a:defRPr sz="7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E589D0D6-630C-4CD3-92C0-CD688F47B4AD}" type="CELLRANGE">
                  <a:rPr lang="en-US"/>
                  <a:pPr>
                    <a:defRPr sz="7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barChart>
        <c:barDir val="bar"/>
        <c:grouping val="clustered"/>
        <c:varyColors val="0"/>
        <c:ser>
          <c:idx val="0"/>
          <c:order val="0"/>
          <c:tx>
            <c:strRef>
              <c:f>'Pivot Report'!$H$21:$H$22</c:f>
              <c:strCache>
                <c:ptCount val="1"/>
                <c:pt idx="0">
                  <c:v>Count of Patient Admission Flag</c:v>
                </c:pt>
              </c:strCache>
            </c:strRef>
          </c:tx>
          <c:spPr>
            <a:solidFill>
              <a:schemeClr val="accent1"/>
            </a:solidFill>
            <a:ln>
              <a:noFill/>
            </a:ln>
            <a:effectLst/>
          </c:spPr>
          <c:invertIfNegative val="0"/>
          <c:dLbls>
            <c:dLbl>
              <c:idx val="0"/>
              <c:tx>
                <c:rich>
                  <a:bodyPr/>
                  <a:lstStyle/>
                  <a:p>
                    <a:fld id="{A94DDE44-E953-4A75-85DE-FA049518474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1"/>
              <c:tx>
                <c:rich>
                  <a:bodyPr/>
                  <a:lstStyle/>
                  <a:p>
                    <a:fld id="{E589D0D6-630C-4CD3-92C0-CD688F47B4A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Report'!$H$21:$H$22</c:f>
              <c:strCache>
                <c:ptCount val="2"/>
                <c:pt idx="0">
                  <c:v>Admitted</c:v>
                </c:pt>
                <c:pt idx="1">
                  <c:v>Not Admitted</c:v>
                </c:pt>
              </c:strCache>
            </c:strRef>
          </c:cat>
          <c:val>
            <c:numRef>
              <c:f>'Pivot Report'!$H$21:$H$22</c:f>
              <c:numCache>
                <c:formatCode>0.00</c:formatCode>
                <c:ptCount val="2"/>
                <c:pt idx="0">
                  <c:v>269</c:v>
                </c:pt>
                <c:pt idx="1">
                  <c:v>244</c:v>
                </c:pt>
              </c:numCache>
            </c:numRef>
          </c:val>
          <c:extLst>
            <c:ext xmlns:c16="http://schemas.microsoft.com/office/drawing/2014/chart" uri="{C3380CC4-5D6E-409C-BE32-E72D297353CC}">
              <c16:uniqueId val="{0000000B-17A9-426E-9701-F284DB108237}"/>
            </c:ext>
          </c:extLst>
        </c:ser>
        <c:ser>
          <c:idx val="1"/>
          <c:order val="1"/>
          <c:tx>
            <c:strRef>
              <c:f>'Pivot Report'!$H$21:$H$22</c:f>
              <c:strCache>
                <c:ptCount val="1"/>
                <c:pt idx="0">
                  <c:v>Count of Patient Admission Flag2</c:v>
                </c:pt>
              </c:strCache>
            </c:strRef>
          </c:tx>
          <c:spPr>
            <a:solidFill>
              <a:schemeClr val="accent2"/>
            </a:solidFill>
            <a:ln>
              <a:noFill/>
            </a:ln>
            <a:effectLst/>
          </c:spPr>
          <c:invertIfNegative val="0"/>
          <c:cat>
            <c:strRef>
              <c:f>'Pivot Report'!$H$21:$H$22</c:f>
              <c:strCache>
                <c:ptCount val="2"/>
                <c:pt idx="0">
                  <c:v>Admitted</c:v>
                </c:pt>
                <c:pt idx="1">
                  <c:v>Not Admitted</c:v>
                </c:pt>
              </c:strCache>
            </c:strRef>
          </c:cat>
          <c:val>
            <c:numRef>
              <c:f>'Pivot Report'!$H$21:$H$22</c:f>
              <c:numCache>
                <c:formatCode>0.00%</c:formatCode>
                <c:ptCount val="2"/>
                <c:pt idx="0">
                  <c:v>0.52436647173489281</c:v>
                </c:pt>
                <c:pt idx="1">
                  <c:v>0.47563352826510719</c:v>
                </c:pt>
              </c:numCache>
            </c:numRef>
          </c:val>
          <c:extLst>
            <c:ext xmlns:c16="http://schemas.microsoft.com/office/drawing/2014/chart" uri="{C3380CC4-5D6E-409C-BE32-E72D297353CC}">
              <c16:uniqueId val="{0000000C-17A9-426E-9701-F284DB108237}"/>
            </c:ext>
          </c:extLst>
        </c:ser>
        <c:dLbls>
          <c:showLegendKey val="0"/>
          <c:showVal val="0"/>
          <c:showCatName val="0"/>
          <c:showSerName val="0"/>
          <c:showPercent val="0"/>
          <c:showBubbleSize val="0"/>
        </c:dLbls>
        <c:gapWidth val="117"/>
        <c:axId val="645790655"/>
        <c:axId val="645789215"/>
      </c:barChart>
      <c:catAx>
        <c:axId val="645790655"/>
        <c:scaling>
          <c:orientation val="minMax"/>
        </c:scaling>
        <c:delete val="1"/>
        <c:axPos val="l"/>
        <c:numFmt formatCode="General" sourceLinked="1"/>
        <c:majorTickMark val="none"/>
        <c:minorTickMark val="none"/>
        <c:tickLblPos val="nextTo"/>
        <c:crossAx val="645789215"/>
        <c:crosses val="autoZero"/>
        <c:auto val="1"/>
        <c:lblAlgn val="ctr"/>
        <c:lblOffset val="100"/>
        <c:noMultiLvlLbl val="0"/>
      </c:catAx>
      <c:valAx>
        <c:axId val="645789215"/>
        <c:scaling>
          <c:orientation val="minMax"/>
        </c:scaling>
        <c:delete val="1"/>
        <c:axPos val="b"/>
        <c:numFmt formatCode="0.00" sourceLinked="1"/>
        <c:majorTickMark val="none"/>
        <c:minorTickMark val="none"/>
        <c:tickLblPos val="nextTo"/>
        <c:crossAx val="64579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62910693424093E-2"/>
          <c:y val="0"/>
          <c:w val="0.95792015853748158"/>
          <c:h val="1"/>
        </c:manualLayout>
      </c:layout>
      <c:areaChart>
        <c:grouping val="standard"/>
        <c:varyColors val="0"/>
        <c:ser>
          <c:idx val="0"/>
          <c:order val="0"/>
          <c:tx>
            <c:strRef>
              <c:f>'Pivot Report'!$L$6</c:f>
              <c:strCache>
                <c:ptCount val="1"/>
                <c:pt idx="0">
                  <c:v>Total</c:v>
                </c:pt>
              </c:strCache>
            </c:strRef>
          </c:tx>
          <c:spPr>
            <a:solidFill>
              <a:schemeClr val="accent1"/>
            </a:solidFill>
            <a:ln w="25400">
              <a:noFill/>
            </a:ln>
            <a:effectLst/>
          </c:spPr>
          <c:cat>
            <c:strRef>
              <c:f>'Pivot Report'!$K$7:$K$38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Report'!$L$7:$L$38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5-21F4-4A94-94AF-E1057A6750FE}"/>
            </c:ext>
          </c:extLst>
        </c:ser>
        <c:dLbls>
          <c:showLegendKey val="0"/>
          <c:showVal val="0"/>
          <c:showCatName val="0"/>
          <c:showSerName val="0"/>
          <c:showPercent val="0"/>
          <c:showBubbleSize val="0"/>
        </c:dLbls>
        <c:axId val="2063263264"/>
        <c:axId val="2063253664"/>
      </c:areaChart>
      <c:catAx>
        <c:axId val="2063263264"/>
        <c:scaling>
          <c:orientation val="minMax"/>
        </c:scaling>
        <c:delete val="1"/>
        <c:axPos val="b"/>
        <c:numFmt formatCode="General" sourceLinked="1"/>
        <c:majorTickMark val="out"/>
        <c:minorTickMark val="none"/>
        <c:tickLblPos val="nextTo"/>
        <c:crossAx val="2063253664"/>
        <c:crosses val="autoZero"/>
        <c:auto val="1"/>
        <c:lblAlgn val="ctr"/>
        <c:lblOffset val="100"/>
        <c:noMultiLvlLbl val="0"/>
      </c:catAx>
      <c:valAx>
        <c:axId val="2063253664"/>
        <c:scaling>
          <c:orientation val="minMax"/>
        </c:scaling>
        <c:delete val="1"/>
        <c:axPos val="l"/>
        <c:numFmt formatCode="General" sourceLinked="1"/>
        <c:majorTickMark val="none"/>
        <c:minorTickMark val="none"/>
        <c:tickLblPos val="nextTo"/>
        <c:crossAx val="2063263264"/>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425658249756804E-2"/>
          <c:y val="3.8888811854645614E-2"/>
          <c:w val="0.89914868350048638"/>
          <c:h val="0.79968593139022159"/>
        </c:manualLayout>
      </c:layout>
      <c:areaChart>
        <c:grouping val="standard"/>
        <c:varyColors val="0"/>
        <c:ser>
          <c:idx val="0"/>
          <c:order val="0"/>
          <c:tx>
            <c:strRef>
              <c:f>'Pivot Report'!$O$6</c:f>
              <c:strCache>
                <c:ptCount val="1"/>
                <c:pt idx="0">
                  <c:v>Total</c:v>
                </c:pt>
              </c:strCache>
            </c:strRef>
          </c:tx>
          <c:spPr>
            <a:solidFill>
              <a:schemeClr val="accent1"/>
            </a:solidFill>
            <a:ln w="25400">
              <a:noFill/>
            </a:ln>
            <a:effectLst/>
          </c:spPr>
          <c:cat>
            <c:strRef>
              <c:f>'Pivot Report'!$N$7:$N$38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Report'!$O$7:$O$38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5-B68F-4623-9478-0ED5BB308BA3}"/>
            </c:ext>
          </c:extLst>
        </c:ser>
        <c:dLbls>
          <c:showLegendKey val="0"/>
          <c:showVal val="0"/>
          <c:showCatName val="0"/>
          <c:showSerName val="0"/>
          <c:showPercent val="0"/>
          <c:showBubbleSize val="0"/>
        </c:dLbls>
        <c:axId val="2063300704"/>
        <c:axId val="2063300224"/>
      </c:areaChart>
      <c:catAx>
        <c:axId val="2063300704"/>
        <c:scaling>
          <c:orientation val="minMax"/>
        </c:scaling>
        <c:delete val="1"/>
        <c:axPos val="b"/>
        <c:numFmt formatCode="General" sourceLinked="1"/>
        <c:majorTickMark val="out"/>
        <c:minorTickMark val="none"/>
        <c:tickLblPos val="nextTo"/>
        <c:crossAx val="2063300224"/>
        <c:crosses val="autoZero"/>
        <c:auto val="1"/>
        <c:lblAlgn val="ctr"/>
        <c:lblOffset val="100"/>
        <c:noMultiLvlLbl val="0"/>
      </c:catAx>
      <c:valAx>
        <c:axId val="2063300224"/>
        <c:scaling>
          <c:orientation val="minMax"/>
        </c:scaling>
        <c:delete val="1"/>
        <c:axPos val="l"/>
        <c:numFmt formatCode="0.00" sourceLinked="1"/>
        <c:majorTickMark val="none"/>
        <c:minorTickMark val="none"/>
        <c:tickLblPos val="nextTo"/>
        <c:crossAx val="20633007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88722227603353E-2"/>
          <c:y val="0"/>
          <c:w val="0.97071127777239663"/>
          <c:h val="1"/>
        </c:manualLayout>
      </c:layout>
      <c:areaChart>
        <c:grouping val="standard"/>
        <c:varyColors val="0"/>
        <c:ser>
          <c:idx val="0"/>
          <c:order val="0"/>
          <c:tx>
            <c:strRef>
              <c:f>'Pivot Report'!$R$6</c:f>
              <c:strCache>
                <c:ptCount val="1"/>
                <c:pt idx="0">
                  <c:v>Total</c:v>
                </c:pt>
              </c:strCache>
            </c:strRef>
          </c:tx>
          <c:spPr>
            <a:solidFill>
              <a:schemeClr val="accent1"/>
            </a:solidFill>
            <a:ln w="25400">
              <a:noFill/>
            </a:ln>
            <a:effectLst/>
          </c:spPr>
          <c:cat>
            <c:strRef>
              <c:f>'Pivot Report'!$Q$7:$Q$38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Report'!$R$7:$R$38</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5-E5F7-40BA-99CC-335F8E96DD18}"/>
            </c:ext>
          </c:extLst>
        </c:ser>
        <c:dLbls>
          <c:showLegendKey val="0"/>
          <c:showVal val="0"/>
          <c:showCatName val="0"/>
          <c:showSerName val="0"/>
          <c:showPercent val="0"/>
          <c:showBubbleSize val="0"/>
        </c:dLbls>
        <c:axId val="2063280544"/>
        <c:axId val="2063279104"/>
      </c:areaChart>
      <c:catAx>
        <c:axId val="2063280544"/>
        <c:scaling>
          <c:orientation val="minMax"/>
        </c:scaling>
        <c:delete val="1"/>
        <c:axPos val="b"/>
        <c:numFmt formatCode="General" sourceLinked="1"/>
        <c:majorTickMark val="out"/>
        <c:minorTickMark val="none"/>
        <c:tickLblPos val="nextTo"/>
        <c:crossAx val="2063279104"/>
        <c:crosses val="autoZero"/>
        <c:auto val="1"/>
        <c:lblAlgn val="ctr"/>
        <c:lblOffset val="100"/>
        <c:noMultiLvlLbl val="0"/>
      </c:catAx>
      <c:valAx>
        <c:axId val="2063279104"/>
        <c:scaling>
          <c:orientation val="minMax"/>
        </c:scaling>
        <c:delete val="1"/>
        <c:axPos val="l"/>
        <c:numFmt formatCode="0.00" sourceLinked="1"/>
        <c:majorTickMark val="none"/>
        <c:minorTickMark val="none"/>
        <c:tickLblPos val="nextTo"/>
        <c:crossAx val="20632805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418305169054757E-2"/>
          <c:y val="0.10255484037048457"/>
          <c:w val="0.95742110317383555"/>
          <c:h val="0.65754364549241373"/>
        </c:manualLayout>
      </c:layout>
      <c:barChart>
        <c:barDir val="col"/>
        <c:grouping val="clustered"/>
        <c:varyColors val="0"/>
        <c:ser>
          <c:idx val="0"/>
          <c:order val="0"/>
          <c:tx>
            <c:strRef>
              <c:f>'Pivot Report'!$E$33</c:f>
              <c:strCache>
                <c:ptCount val="1"/>
                <c:pt idx="0">
                  <c:v>Total</c:v>
                </c:pt>
              </c:strCache>
            </c:strRef>
          </c:tx>
          <c:spPr>
            <a:solidFill>
              <a:schemeClr val="accent1"/>
            </a:solidFill>
            <a:ln>
              <a:noFill/>
            </a:ln>
            <a:effectLst/>
          </c:spPr>
          <c:invertIfNegative val="0"/>
          <c:cat>
            <c:strRef>
              <c:f>'Pivot Report'!$D$34:$D$42</c:f>
              <c:strCache>
                <c:ptCount val="8"/>
                <c:pt idx="0">
                  <c:v>0-10</c:v>
                </c:pt>
                <c:pt idx="1">
                  <c:v>10-20</c:v>
                </c:pt>
                <c:pt idx="2">
                  <c:v>20-30</c:v>
                </c:pt>
                <c:pt idx="3">
                  <c:v>30-40</c:v>
                </c:pt>
                <c:pt idx="4">
                  <c:v>40-50</c:v>
                </c:pt>
                <c:pt idx="5">
                  <c:v>50-60</c:v>
                </c:pt>
                <c:pt idx="6">
                  <c:v>60-70</c:v>
                </c:pt>
                <c:pt idx="7">
                  <c:v>70-80</c:v>
                </c:pt>
              </c:strCache>
            </c:strRef>
          </c:cat>
          <c:val>
            <c:numRef>
              <c:f>'Pivot Report'!$E$34:$E$42</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5-3313-4E92-89C7-F2761BCD5433}"/>
            </c:ext>
          </c:extLst>
        </c:ser>
        <c:dLbls>
          <c:showLegendKey val="0"/>
          <c:showVal val="0"/>
          <c:showCatName val="0"/>
          <c:showSerName val="0"/>
          <c:showPercent val="0"/>
          <c:showBubbleSize val="0"/>
        </c:dLbls>
        <c:gapWidth val="219"/>
        <c:overlap val="-27"/>
        <c:axId val="645758975"/>
        <c:axId val="645787775"/>
      </c:barChart>
      <c:catAx>
        <c:axId val="64575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787775"/>
        <c:crosses val="autoZero"/>
        <c:auto val="1"/>
        <c:lblAlgn val="ctr"/>
        <c:lblOffset val="100"/>
        <c:noMultiLvlLbl val="0"/>
      </c:catAx>
      <c:valAx>
        <c:axId val="645787775"/>
        <c:scaling>
          <c:orientation val="minMax"/>
        </c:scaling>
        <c:delete val="1"/>
        <c:axPos val="l"/>
        <c:numFmt formatCode="0" sourceLinked="1"/>
        <c:majorTickMark val="none"/>
        <c:minorTickMark val="none"/>
        <c:tickLblPos val="nextTo"/>
        <c:crossAx val="64575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
      </c:pivotFmt>
      <c:pivotFmt>
        <c:idx val="6"/>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
      </c:pivotFmt>
    </c:pivotFmts>
    <c:plotArea>
      <c:layout/>
      <c:pieChart>
        <c:varyColors val="1"/>
        <c:ser>
          <c:idx val="0"/>
          <c:order val="0"/>
          <c:tx>
            <c:strRef>
              <c:f>'Pivot Report'!$E$47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Report'!$D$48:$D$50</c:f>
              <c:strCache>
                <c:ptCount val="2"/>
                <c:pt idx="0">
                  <c:v>Delayed</c:v>
                </c:pt>
                <c:pt idx="1">
                  <c:v>On time</c:v>
                </c:pt>
              </c:strCache>
            </c:strRef>
          </c:cat>
          <c:val>
            <c:numRef>
              <c:f>'Pivot Report'!$E$48:$E$50</c:f>
              <c:numCache>
                <c:formatCode>0</c:formatCode>
                <c:ptCount val="2"/>
                <c:pt idx="0">
                  <c:v>316</c:v>
                </c:pt>
                <c:pt idx="1">
                  <c:v>197</c:v>
                </c:pt>
              </c:numCache>
            </c:numRef>
          </c:val>
          <c:extLst>
            <c:ext xmlns:c16="http://schemas.microsoft.com/office/drawing/2014/chart" uri="{C3380CC4-5D6E-409C-BE32-E72D297353CC}">
              <c16:uniqueId val="{00000009-2B80-42AE-B2A9-1358650DCF14}"/>
            </c:ext>
          </c:extLst>
        </c:ser>
        <c:dLbls>
          <c:dLblPos val="ctr"/>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5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50800" dist="50800" dir="5400000" sx="1000" sy="1000" algn="ctr" rotWithShape="0">
              <a:srgbClr val="000000">
                <a:alpha val="43137"/>
              </a:srgbClr>
            </a:outerShdw>
            <a:softEdge rad="0"/>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50800" dist="50800" dir="5400000" sx="1000" sy="1000" algn="ctr" rotWithShape="0">
              <a:srgbClr val="000000">
                <a:alpha val="43137"/>
              </a:srgbClr>
            </a:outerShdw>
            <a:softEdge rad="0"/>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6"/>
        <c:spPr>
          <a:solidFill>
            <a:schemeClr val="accent2"/>
          </a:solidFill>
          <a:ln>
            <a:noFill/>
          </a:ln>
          <a:effectLst>
            <a:outerShdw blurRad="50800" dist="50800" dir="5400000" sx="1000" sy="1000" algn="ctr" rotWithShape="0">
              <a:srgbClr val="000000">
                <a:alpha val="43137"/>
              </a:srgbClr>
            </a:outerShdw>
            <a:softEdge rad="0"/>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s>
    <c:plotArea>
      <c:layout/>
      <c:doughnutChart>
        <c:varyColors val="1"/>
        <c:ser>
          <c:idx val="0"/>
          <c:order val="0"/>
          <c:tx>
            <c:strRef>
              <c:f>'Pivot Report'!$E$56</c:f>
              <c:strCache>
                <c:ptCount val="1"/>
                <c:pt idx="0">
                  <c:v>Total</c:v>
                </c:pt>
              </c:strCache>
            </c:strRef>
          </c:tx>
          <c:spPr>
            <a:effectLst>
              <a:outerShdw blurRad="50800" dist="50800" dir="5400000" sx="1000" sy="1000" algn="ctr" rotWithShape="0">
                <a:srgbClr val="000000">
                  <a:alpha val="43137"/>
                </a:srgbClr>
              </a:outerShdw>
              <a:softEdge rad="0"/>
            </a:effectLst>
          </c:spPr>
          <c:dPt>
            <c:idx val="0"/>
            <c:bubble3D val="0"/>
            <c:spPr>
              <a:solidFill>
                <a:schemeClr val="accent1"/>
              </a:solidFill>
              <a:ln>
                <a:noFill/>
              </a:ln>
              <a:effectLst>
                <a:outerShdw blurRad="50800" dist="50800" dir="5400000" sx="1000" sy="1000" algn="ctr" rotWithShape="0">
                  <a:srgbClr val="000000">
                    <a:alpha val="43137"/>
                  </a:srgbClr>
                </a:outerShdw>
                <a:softEdge rad="0"/>
              </a:effectLst>
            </c:spPr>
          </c:dPt>
          <c:dPt>
            <c:idx val="1"/>
            <c:bubble3D val="0"/>
            <c:spPr>
              <a:solidFill>
                <a:schemeClr val="accent2"/>
              </a:solidFill>
              <a:ln>
                <a:noFill/>
              </a:ln>
              <a:effectLst>
                <a:outerShdw blurRad="50800" dist="50800" dir="5400000" sx="1000" sy="1000" algn="ctr" rotWithShape="0">
                  <a:srgbClr val="000000">
                    <a:alpha val="43137"/>
                  </a:srgbClr>
                </a:outerShdw>
                <a:softEdge rad="0"/>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Report'!$D$57:$D$59</c:f>
              <c:strCache>
                <c:ptCount val="2"/>
                <c:pt idx="0">
                  <c:v>Female</c:v>
                </c:pt>
                <c:pt idx="1">
                  <c:v>Male</c:v>
                </c:pt>
              </c:strCache>
            </c:strRef>
          </c:cat>
          <c:val>
            <c:numRef>
              <c:f>'Pivot Report'!$E$57:$E$59</c:f>
              <c:numCache>
                <c:formatCode>0</c:formatCode>
                <c:ptCount val="2"/>
                <c:pt idx="0">
                  <c:v>241</c:v>
                </c:pt>
                <c:pt idx="1">
                  <c:v>272</c:v>
                </c:pt>
              </c:numCache>
            </c:numRef>
          </c:val>
          <c:extLst>
            <c:ext xmlns:c16="http://schemas.microsoft.com/office/drawing/2014/chart" uri="{C3380CC4-5D6E-409C-BE32-E72D297353CC}">
              <c16:uniqueId val="{00000009-4268-4801-9626-06A246BA4684}"/>
            </c:ext>
          </c:extLst>
        </c:ser>
        <c:dLbls>
          <c:showLegendKey val="0"/>
          <c:showVal val="0"/>
          <c:showCatName val="0"/>
          <c:showSerName val="0"/>
          <c:showPercent val="1"/>
          <c:showBubbleSize val="0"/>
          <c:showLeaderLines val="1"/>
        </c:dLbls>
        <c:firstSliceAng val="0"/>
        <c:holeSize val="59"/>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6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Report'!$E$62</c:f>
              <c:strCache>
                <c:ptCount val="1"/>
                <c:pt idx="0">
                  <c:v>Total</c:v>
                </c:pt>
              </c:strCache>
            </c:strRef>
          </c:tx>
          <c:spPr>
            <a:solidFill>
              <a:schemeClr val="accent1"/>
            </a:solidFill>
            <a:ln>
              <a:noFill/>
            </a:ln>
            <a:effectLst/>
          </c:spPr>
          <c:invertIfNegative val="0"/>
          <c:cat>
            <c:strRef>
              <c:f>'Pivot Report'!$D$63:$D$71</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Report'!$E$63:$E$71</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5-34B3-4819-8585-A65DEC8EF6E4}"/>
            </c:ext>
          </c:extLst>
        </c:ser>
        <c:dLbls>
          <c:showLegendKey val="0"/>
          <c:showVal val="0"/>
          <c:showCatName val="0"/>
          <c:showSerName val="0"/>
          <c:showPercent val="0"/>
          <c:showBubbleSize val="0"/>
        </c:dLbls>
        <c:gapWidth val="182"/>
        <c:axId val="2063287744"/>
        <c:axId val="2063307904"/>
      </c:barChart>
      <c:catAx>
        <c:axId val="206328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063307904"/>
        <c:crosses val="autoZero"/>
        <c:auto val="1"/>
        <c:lblAlgn val="ctr"/>
        <c:lblOffset val="100"/>
        <c:noMultiLvlLbl val="0"/>
      </c:catAx>
      <c:valAx>
        <c:axId val="206330790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06328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Report'!$K$7:$K$38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Report'!$L$7:$L$38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C9BC-41E7-B804-C92E01D7CB63}"/>
            </c:ext>
          </c:extLst>
        </c:ser>
        <c:dLbls>
          <c:showLegendKey val="0"/>
          <c:showVal val="0"/>
          <c:showCatName val="0"/>
          <c:showSerName val="0"/>
          <c:showPercent val="0"/>
          <c:showBubbleSize val="0"/>
        </c:dLbls>
        <c:axId val="2063263264"/>
        <c:axId val="2063253664"/>
      </c:areaChart>
      <c:catAx>
        <c:axId val="206326326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3253664"/>
        <c:crosses val="autoZero"/>
        <c:auto val="1"/>
        <c:lblAlgn val="ctr"/>
        <c:lblOffset val="100"/>
        <c:noMultiLvlLbl val="0"/>
      </c:catAx>
      <c:valAx>
        <c:axId val="20632536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32632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2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Report'!$N$7:$N$38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Report'!$O$7:$O$38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6B9B-4721-A966-6A29AA4C5930}"/>
            </c:ext>
          </c:extLst>
        </c:ser>
        <c:dLbls>
          <c:showLegendKey val="0"/>
          <c:showVal val="0"/>
          <c:showCatName val="0"/>
          <c:showSerName val="0"/>
          <c:showPercent val="0"/>
          <c:showBubbleSize val="0"/>
        </c:dLbls>
        <c:axId val="2063312704"/>
        <c:axId val="2063304544"/>
      </c:areaChart>
      <c:catAx>
        <c:axId val="206331270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2063304544"/>
        <c:crosses val="autoZero"/>
        <c:auto val="1"/>
        <c:lblAlgn val="ctr"/>
        <c:lblOffset val="100"/>
        <c:noMultiLvlLbl val="0"/>
      </c:catAx>
      <c:valAx>
        <c:axId val="206330454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20633127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3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Report'!$R$6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Report'!$Q$7:$Q$38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Report'!$R$7:$R$38</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2477-40A1-9977-A0C637D47ACE}"/>
            </c:ext>
          </c:extLst>
        </c:ser>
        <c:dLbls>
          <c:showLegendKey val="0"/>
          <c:showVal val="0"/>
          <c:showCatName val="0"/>
          <c:showSerName val="0"/>
          <c:showPercent val="0"/>
          <c:showBubbleSize val="0"/>
        </c:dLbls>
        <c:axId val="2063322304"/>
        <c:axId val="2063317024"/>
      </c:areaChart>
      <c:catAx>
        <c:axId val="206332230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3317024"/>
        <c:crosses val="autoZero"/>
        <c:auto val="1"/>
        <c:lblAlgn val="ctr"/>
        <c:lblOffset val="100"/>
        <c:noMultiLvlLbl val="0"/>
      </c:catAx>
      <c:valAx>
        <c:axId val="206331702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33223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visi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1005840</xdr:colOff>
      <xdr:row>25</xdr:row>
      <xdr:rowOff>76200</xdr:rowOff>
    </xdr:from>
    <xdr:to>
      <xdr:col>5</xdr:col>
      <xdr:colOff>1836420</xdr:colOff>
      <xdr:row>28</xdr:row>
      <xdr:rowOff>144780</xdr:rowOff>
    </xdr:to>
    <xdr:graphicFrame macro="">
      <xdr:nvGraphicFramePr>
        <xdr:cNvPr id="10" name="Chart 9">
          <a:extLst>
            <a:ext uri="{FF2B5EF4-FFF2-40B4-BE49-F238E27FC236}">
              <a16:creationId xmlns:a16="http://schemas.microsoft.com/office/drawing/2014/main" id="{F71B39C5-52C3-12EB-E045-7A2EDDD59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1592580</xdr:colOff>
      <xdr:row>33</xdr:row>
      <xdr:rowOff>76200</xdr:rowOff>
    </xdr:from>
    <xdr:to>
      <xdr:col>7</xdr:col>
      <xdr:colOff>784860</xdr:colOff>
      <xdr:row>46</xdr:row>
      <xdr:rowOff>165735</xdr:rowOff>
    </xdr:to>
    <mc:AlternateContent xmlns:mc="http://schemas.openxmlformats.org/markup-compatibility/2006">
      <mc:Choice xmlns:a14="http://schemas.microsoft.com/office/drawing/2010/main" Requires="a14">
        <xdr:graphicFrame macro="">
          <xdr:nvGraphicFramePr>
            <xdr:cNvPr id="15" name="Date (Year)">
              <a:extLst>
                <a:ext uri="{FF2B5EF4-FFF2-40B4-BE49-F238E27FC236}">
                  <a16:creationId xmlns:a16="http://schemas.microsoft.com/office/drawing/2014/main" id="{03FA46E3-655C-BD4C-BE08-D7778BA50DF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6248400" y="6111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30480</xdr:colOff>
      <xdr:row>0</xdr:row>
      <xdr:rowOff>71120</xdr:rowOff>
    </xdr:from>
    <xdr:to>
      <xdr:col>6</xdr:col>
      <xdr:colOff>15240</xdr:colOff>
      <xdr:row>2</xdr:row>
      <xdr:rowOff>157480</xdr:rowOff>
    </xdr:to>
    <xdr:sp macro="" textlink="">
      <xdr:nvSpPr>
        <xdr:cNvPr id="2" name="Rectangle: Rounded Corners 1">
          <a:extLst>
            <a:ext uri="{FF2B5EF4-FFF2-40B4-BE49-F238E27FC236}">
              <a16:creationId xmlns:a16="http://schemas.microsoft.com/office/drawing/2014/main" id="{0D92484B-666F-6A8D-5146-933C5203C1F2}"/>
            </a:ext>
          </a:extLst>
        </xdr:cNvPr>
        <xdr:cNvSpPr/>
      </xdr:nvSpPr>
      <xdr:spPr>
        <a:xfrm>
          <a:off x="30480" y="71120"/>
          <a:ext cx="3642360" cy="452120"/>
        </a:xfrm>
        <a:prstGeom prst="roundRect">
          <a:avLst>
            <a:gd name="adj" fmla="val 2283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66040</xdr:colOff>
      <xdr:row>0</xdr:row>
      <xdr:rowOff>70757</xdr:rowOff>
    </xdr:from>
    <xdr:to>
      <xdr:col>9</xdr:col>
      <xdr:colOff>121920</xdr:colOff>
      <xdr:row>2</xdr:row>
      <xdr:rowOff>152399</xdr:rowOff>
    </xdr:to>
    <xdr:sp macro="" textlink="">
      <xdr:nvSpPr>
        <xdr:cNvPr id="3" name="Rectangle: Rounded Corners 2">
          <a:extLst>
            <a:ext uri="{FF2B5EF4-FFF2-40B4-BE49-F238E27FC236}">
              <a16:creationId xmlns:a16="http://schemas.microsoft.com/office/drawing/2014/main" id="{3E7F7380-7940-654A-2F85-2525494B517E}"/>
            </a:ext>
          </a:extLst>
        </xdr:cNvPr>
        <xdr:cNvSpPr/>
      </xdr:nvSpPr>
      <xdr:spPr>
        <a:xfrm>
          <a:off x="3723640" y="70757"/>
          <a:ext cx="1884680" cy="451756"/>
        </a:xfrm>
        <a:prstGeom prst="roundRect">
          <a:avLst>
            <a:gd name="adj" fmla="val 2036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60960</xdr:colOff>
      <xdr:row>3</xdr:row>
      <xdr:rowOff>5080</xdr:rowOff>
    </xdr:from>
    <xdr:to>
      <xdr:col>1</xdr:col>
      <xdr:colOff>259080</xdr:colOff>
      <xdr:row>18</xdr:row>
      <xdr:rowOff>132080</xdr:rowOff>
    </xdr:to>
    <xdr:sp macro="" textlink="">
      <xdr:nvSpPr>
        <xdr:cNvPr id="9" name="Rectangle: Rounded Corners 8">
          <a:extLst>
            <a:ext uri="{FF2B5EF4-FFF2-40B4-BE49-F238E27FC236}">
              <a16:creationId xmlns:a16="http://schemas.microsoft.com/office/drawing/2014/main" id="{0821B85F-7E39-99F5-1822-900E8CF221F3}"/>
            </a:ext>
          </a:extLst>
        </xdr:cNvPr>
        <xdr:cNvSpPr/>
      </xdr:nvSpPr>
      <xdr:spPr>
        <a:xfrm>
          <a:off x="60960" y="553720"/>
          <a:ext cx="807720" cy="2870200"/>
        </a:xfrm>
        <a:prstGeom prst="roundRect">
          <a:avLst>
            <a:gd name="adj" fmla="val 11502"/>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l"/>
          <a:endParaRPr lang="en-IN" sz="1200" b="1">
            <a:solidFill>
              <a:schemeClr val="dk1"/>
            </a:solidFill>
            <a:latin typeface="+mn-lt"/>
            <a:ea typeface="+mn-ea"/>
            <a:cs typeface="+mn-cs"/>
          </a:endParaRPr>
        </a:p>
      </xdr:txBody>
    </xdr:sp>
    <xdr:clientData/>
  </xdr:twoCellAnchor>
  <xdr:twoCellAnchor editAs="absolute">
    <xdr:from>
      <xdr:col>1</xdr:col>
      <xdr:colOff>304800</xdr:colOff>
      <xdr:row>9</xdr:row>
      <xdr:rowOff>55880</xdr:rowOff>
    </xdr:from>
    <xdr:to>
      <xdr:col>9</xdr:col>
      <xdr:colOff>137160</xdr:colOff>
      <xdr:row>13</xdr:row>
      <xdr:rowOff>5443</xdr:rowOff>
    </xdr:to>
    <xdr:sp macro="" textlink="">
      <xdr:nvSpPr>
        <xdr:cNvPr id="12" name="Rectangle: Rounded Corners 11">
          <a:extLst>
            <a:ext uri="{FF2B5EF4-FFF2-40B4-BE49-F238E27FC236}">
              <a16:creationId xmlns:a16="http://schemas.microsoft.com/office/drawing/2014/main" id="{1E077F3D-9B04-BF87-D748-C2BF1560C177}"/>
            </a:ext>
          </a:extLst>
        </xdr:cNvPr>
        <xdr:cNvSpPr/>
      </xdr:nvSpPr>
      <xdr:spPr>
        <a:xfrm>
          <a:off x="914400" y="1721394"/>
          <a:ext cx="4709160" cy="689792"/>
        </a:xfrm>
        <a:prstGeom prst="roundRect">
          <a:avLst>
            <a:gd name="adj" fmla="val 1150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293914</xdr:colOff>
      <xdr:row>3</xdr:row>
      <xdr:rowOff>15240</xdr:rowOff>
    </xdr:from>
    <xdr:to>
      <xdr:col>9</xdr:col>
      <xdr:colOff>100874</xdr:colOff>
      <xdr:row>9</xdr:row>
      <xdr:rowOff>10160</xdr:rowOff>
    </xdr:to>
    <xdr:grpSp>
      <xdr:nvGrpSpPr>
        <xdr:cNvPr id="16" name="Group 15">
          <a:extLst>
            <a:ext uri="{FF2B5EF4-FFF2-40B4-BE49-F238E27FC236}">
              <a16:creationId xmlns:a16="http://schemas.microsoft.com/office/drawing/2014/main" id="{9B9AF8D1-C4DE-D8C1-EBE2-9EC1A9D816F6}"/>
            </a:ext>
          </a:extLst>
        </xdr:cNvPr>
        <xdr:cNvGrpSpPr/>
      </xdr:nvGrpSpPr>
      <xdr:grpSpPr>
        <a:xfrm>
          <a:off x="903514" y="570411"/>
          <a:ext cx="4683760" cy="1105263"/>
          <a:chOff x="914400" y="563880"/>
          <a:chExt cx="4531360" cy="1056640"/>
        </a:xfrm>
      </xdr:grpSpPr>
      <xdr:sp macro="" textlink="">
        <xdr:nvSpPr>
          <xdr:cNvPr id="10" name="Rectangle: Rounded Corners 9">
            <a:extLst>
              <a:ext uri="{FF2B5EF4-FFF2-40B4-BE49-F238E27FC236}">
                <a16:creationId xmlns:a16="http://schemas.microsoft.com/office/drawing/2014/main" id="{9E29FF28-C658-AE02-1A2E-19B72B45E8DD}"/>
              </a:ext>
            </a:extLst>
          </xdr:cNvPr>
          <xdr:cNvSpPr/>
        </xdr:nvSpPr>
        <xdr:spPr>
          <a:xfrm>
            <a:off x="914400" y="579120"/>
            <a:ext cx="1478280" cy="1041400"/>
          </a:xfrm>
          <a:prstGeom prst="roundRect">
            <a:avLst>
              <a:gd name="adj" fmla="val 1150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1" name="Rectangle: Rounded Corners 10">
            <a:extLst>
              <a:ext uri="{FF2B5EF4-FFF2-40B4-BE49-F238E27FC236}">
                <a16:creationId xmlns:a16="http://schemas.microsoft.com/office/drawing/2014/main" id="{3610E183-D61D-6721-354A-95EFB1567858}"/>
              </a:ext>
            </a:extLst>
          </xdr:cNvPr>
          <xdr:cNvSpPr/>
        </xdr:nvSpPr>
        <xdr:spPr>
          <a:xfrm>
            <a:off x="2438400" y="574040"/>
            <a:ext cx="1478280" cy="1041400"/>
          </a:xfrm>
          <a:prstGeom prst="roundRect">
            <a:avLst>
              <a:gd name="adj" fmla="val 1150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4" name="Rectangle: Rounded Corners 13">
            <a:extLst>
              <a:ext uri="{FF2B5EF4-FFF2-40B4-BE49-F238E27FC236}">
                <a16:creationId xmlns:a16="http://schemas.microsoft.com/office/drawing/2014/main" id="{9E4E28E5-9F7A-E6F0-F6E2-629F40F10EA0}"/>
              </a:ext>
            </a:extLst>
          </xdr:cNvPr>
          <xdr:cNvSpPr/>
        </xdr:nvSpPr>
        <xdr:spPr>
          <a:xfrm>
            <a:off x="3967480" y="563880"/>
            <a:ext cx="1478280" cy="1041400"/>
          </a:xfrm>
          <a:prstGeom prst="roundRect">
            <a:avLst>
              <a:gd name="adj" fmla="val 1150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editAs="absolute">
    <xdr:from>
      <xdr:col>1</xdr:col>
      <xdr:colOff>272143</xdr:colOff>
      <xdr:row>13</xdr:row>
      <xdr:rowOff>76200</xdr:rowOff>
    </xdr:from>
    <xdr:to>
      <xdr:col>9</xdr:col>
      <xdr:colOff>137160</xdr:colOff>
      <xdr:row>18</xdr:row>
      <xdr:rowOff>132080</xdr:rowOff>
    </xdr:to>
    <xdr:sp macro="" textlink="">
      <xdr:nvSpPr>
        <xdr:cNvPr id="20" name="Rectangle: Rounded Corners 19">
          <a:extLst>
            <a:ext uri="{FF2B5EF4-FFF2-40B4-BE49-F238E27FC236}">
              <a16:creationId xmlns:a16="http://schemas.microsoft.com/office/drawing/2014/main" id="{66F560F5-92A2-F88D-49CC-6F53E1527E6A}"/>
            </a:ext>
          </a:extLst>
        </xdr:cNvPr>
        <xdr:cNvSpPr/>
      </xdr:nvSpPr>
      <xdr:spPr>
        <a:xfrm>
          <a:off x="881743" y="2481943"/>
          <a:ext cx="4741817" cy="981166"/>
        </a:xfrm>
        <a:prstGeom prst="roundRect">
          <a:avLst>
            <a:gd name="adj" fmla="val 1150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54429</xdr:colOff>
      <xdr:row>0</xdr:row>
      <xdr:rowOff>108857</xdr:rowOff>
    </xdr:from>
    <xdr:to>
      <xdr:col>5</xdr:col>
      <xdr:colOff>381000</xdr:colOff>
      <xdr:row>1</xdr:row>
      <xdr:rowOff>163286</xdr:rowOff>
    </xdr:to>
    <xdr:sp macro="" textlink="">
      <xdr:nvSpPr>
        <xdr:cNvPr id="25" name="TextBox 24">
          <a:extLst>
            <a:ext uri="{FF2B5EF4-FFF2-40B4-BE49-F238E27FC236}">
              <a16:creationId xmlns:a16="http://schemas.microsoft.com/office/drawing/2014/main" id="{E79CEC63-D836-9B1A-567B-C444DF1FA9C8}"/>
            </a:ext>
          </a:extLst>
        </xdr:cNvPr>
        <xdr:cNvSpPr txBox="1"/>
      </xdr:nvSpPr>
      <xdr:spPr>
        <a:xfrm>
          <a:off x="664029" y="108857"/>
          <a:ext cx="2764971" cy="23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Hospital Emergency Rooms Dashboard</a:t>
          </a:r>
        </a:p>
      </xdr:txBody>
    </xdr:sp>
    <xdr:clientData/>
  </xdr:twoCellAnchor>
  <xdr:twoCellAnchor editAs="oneCell">
    <xdr:from>
      <xdr:col>0</xdr:col>
      <xdr:colOff>0</xdr:colOff>
      <xdr:row>0</xdr:row>
      <xdr:rowOff>130628</xdr:rowOff>
    </xdr:from>
    <xdr:to>
      <xdr:col>1</xdr:col>
      <xdr:colOff>255813</xdr:colOff>
      <xdr:row>2</xdr:row>
      <xdr:rowOff>114299</xdr:rowOff>
    </xdr:to>
    <xdr:pic>
      <xdr:nvPicPr>
        <xdr:cNvPr id="27" name="Picture 26">
          <a:extLst>
            <a:ext uri="{FF2B5EF4-FFF2-40B4-BE49-F238E27FC236}">
              <a16:creationId xmlns:a16="http://schemas.microsoft.com/office/drawing/2014/main" id="{6A6C5EF6-1C3A-55B4-71D3-5FAD3A92BC5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 t="8751" r="-19549" b="10000"/>
        <a:stretch>
          <a:fillRect/>
        </a:stretch>
      </xdr:blipFill>
      <xdr:spPr>
        <a:xfrm>
          <a:off x="0" y="130628"/>
          <a:ext cx="865413" cy="353785"/>
        </a:xfrm>
        <a:prstGeom prst="rect">
          <a:avLst/>
        </a:prstGeom>
      </xdr:spPr>
    </xdr:pic>
    <xdr:clientData/>
  </xdr:twoCellAnchor>
  <xdr:twoCellAnchor editAs="absolute">
    <xdr:from>
      <xdr:col>1</xdr:col>
      <xdr:colOff>310244</xdr:colOff>
      <xdr:row>5</xdr:row>
      <xdr:rowOff>141514</xdr:rowOff>
    </xdr:from>
    <xdr:to>
      <xdr:col>4</xdr:col>
      <xdr:colOff>0</xdr:colOff>
      <xdr:row>6</xdr:row>
      <xdr:rowOff>163285</xdr:rowOff>
    </xdr:to>
    <xdr:sp macro="" textlink="">
      <xdr:nvSpPr>
        <xdr:cNvPr id="5" name="TextBox 4">
          <a:extLst>
            <a:ext uri="{FF2B5EF4-FFF2-40B4-BE49-F238E27FC236}">
              <a16:creationId xmlns:a16="http://schemas.microsoft.com/office/drawing/2014/main" id="{F31655C6-B715-A339-C4A1-66032FC6A1B7}"/>
            </a:ext>
          </a:extLst>
        </xdr:cNvPr>
        <xdr:cNvSpPr txBox="1"/>
      </xdr:nvSpPr>
      <xdr:spPr>
        <a:xfrm>
          <a:off x="919844" y="1066800"/>
          <a:ext cx="1518556" cy="206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a:t>No.</a:t>
          </a:r>
          <a:r>
            <a:rPr lang="en-IN" sz="1000" b="1" baseline="0"/>
            <a:t> of Patient</a:t>
          </a:r>
          <a:endParaRPr lang="en-IN" sz="1000" b="1"/>
        </a:p>
      </xdr:txBody>
    </xdr:sp>
    <xdr:clientData/>
  </xdr:twoCellAnchor>
  <xdr:twoCellAnchor editAs="absolute">
    <xdr:from>
      <xdr:col>1</xdr:col>
      <xdr:colOff>478973</xdr:colOff>
      <xdr:row>1</xdr:row>
      <xdr:rowOff>174172</xdr:rowOff>
    </xdr:from>
    <xdr:to>
      <xdr:col>4</xdr:col>
      <xdr:colOff>168729</xdr:colOff>
      <xdr:row>2</xdr:row>
      <xdr:rowOff>130628</xdr:rowOff>
    </xdr:to>
    <xdr:sp macro="" textlink="">
      <xdr:nvSpPr>
        <xdr:cNvPr id="7" name="TextBox 6">
          <a:extLst>
            <a:ext uri="{FF2B5EF4-FFF2-40B4-BE49-F238E27FC236}">
              <a16:creationId xmlns:a16="http://schemas.microsoft.com/office/drawing/2014/main" id="{201E1800-B371-3E91-D67D-558196A8062A}"/>
            </a:ext>
          </a:extLst>
        </xdr:cNvPr>
        <xdr:cNvSpPr txBox="1"/>
      </xdr:nvSpPr>
      <xdr:spPr>
        <a:xfrm>
          <a:off x="1088573" y="359229"/>
          <a:ext cx="1518556" cy="141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a:t>Monthly Report</a:t>
          </a:r>
        </a:p>
      </xdr:txBody>
    </xdr:sp>
    <xdr:clientData/>
  </xdr:twoCellAnchor>
  <xdr:twoCellAnchor editAs="absolute">
    <xdr:from>
      <xdr:col>1</xdr:col>
      <xdr:colOff>299359</xdr:colOff>
      <xdr:row>4</xdr:row>
      <xdr:rowOff>32656</xdr:rowOff>
    </xdr:from>
    <xdr:to>
      <xdr:col>3</xdr:col>
      <xdr:colOff>587829</xdr:colOff>
      <xdr:row>5</xdr:row>
      <xdr:rowOff>59871</xdr:rowOff>
    </xdr:to>
    <xdr:sp macro="" textlink="'Pivot Report'!F7">
      <xdr:nvSpPr>
        <xdr:cNvPr id="8" name="TextBox 7">
          <a:extLst>
            <a:ext uri="{FF2B5EF4-FFF2-40B4-BE49-F238E27FC236}">
              <a16:creationId xmlns:a16="http://schemas.microsoft.com/office/drawing/2014/main" id="{14713E10-4DC7-9B08-270B-C6BD3E6511AD}"/>
            </a:ext>
          </a:extLst>
        </xdr:cNvPr>
        <xdr:cNvSpPr txBox="1"/>
      </xdr:nvSpPr>
      <xdr:spPr>
        <a:xfrm>
          <a:off x="908959" y="772885"/>
          <a:ext cx="1507670" cy="212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E01C2A0-E4D0-4A3A-B736-CD6CBC974338}" type="TxLink">
            <a:rPr lang="en-US" sz="1600" b="0" i="0" u="none" strike="noStrike">
              <a:solidFill>
                <a:srgbClr val="000000"/>
              </a:solidFill>
              <a:latin typeface="Calibri"/>
              <a:ea typeface="Calibri"/>
              <a:cs typeface="Calibri"/>
            </a:rPr>
            <a:t>513</a:t>
          </a:fld>
          <a:endParaRPr lang="en-IN" sz="1200" b="1"/>
        </a:p>
      </xdr:txBody>
    </xdr:sp>
    <xdr:clientData/>
  </xdr:twoCellAnchor>
  <xdr:twoCellAnchor editAs="absolute">
    <xdr:from>
      <xdr:col>4</xdr:col>
      <xdr:colOff>54430</xdr:colOff>
      <xdr:row>5</xdr:row>
      <xdr:rowOff>179615</xdr:rowOff>
    </xdr:from>
    <xdr:to>
      <xdr:col>6</xdr:col>
      <xdr:colOff>353786</xdr:colOff>
      <xdr:row>7</xdr:row>
      <xdr:rowOff>16329</xdr:rowOff>
    </xdr:to>
    <xdr:sp macro="" textlink="">
      <xdr:nvSpPr>
        <xdr:cNvPr id="13" name="TextBox 12">
          <a:extLst>
            <a:ext uri="{FF2B5EF4-FFF2-40B4-BE49-F238E27FC236}">
              <a16:creationId xmlns:a16="http://schemas.microsoft.com/office/drawing/2014/main" id="{9A5B4B34-8872-3964-976E-78E2E8374D0C}"/>
            </a:ext>
          </a:extLst>
        </xdr:cNvPr>
        <xdr:cNvSpPr txBox="1"/>
      </xdr:nvSpPr>
      <xdr:spPr>
        <a:xfrm>
          <a:off x="2492830" y="1104901"/>
          <a:ext cx="1518556" cy="206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a:t>Average Wait Time</a:t>
          </a:r>
        </a:p>
      </xdr:txBody>
    </xdr:sp>
    <xdr:clientData/>
  </xdr:twoCellAnchor>
  <xdr:twoCellAnchor editAs="absolute">
    <xdr:from>
      <xdr:col>4</xdr:col>
      <xdr:colOff>54431</xdr:colOff>
      <xdr:row>4</xdr:row>
      <xdr:rowOff>43542</xdr:rowOff>
    </xdr:from>
    <xdr:to>
      <xdr:col>6</xdr:col>
      <xdr:colOff>342901</xdr:colOff>
      <xdr:row>5</xdr:row>
      <xdr:rowOff>70757</xdr:rowOff>
    </xdr:to>
    <xdr:sp macro="" textlink="'Pivot Report'!F12">
      <xdr:nvSpPr>
        <xdr:cNvPr id="15" name="TextBox 14">
          <a:extLst>
            <a:ext uri="{FF2B5EF4-FFF2-40B4-BE49-F238E27FC236}">
              <a16:creationId xmlns:a16="http://schemas.microsoft.com/office/drawing/2014/main" id="{E64CD007-25EC-38B0-6F06-DF2306E4559D}"/>
            </a:ext>
          </a:extLst>
        </xdr:cNvPr>
        <xdr:cNvSpPr txBox="1"/>
      </xdr:nvSpPr>
      <xdr:spPr>
        <a:xfrm>
          <a:off x="2492831" y="783771"/>
          <a:ext cx="1507670" cy="212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A990964-D54B-4AE6-A03E-FC04B9A776FC}" type="TxLink">
            <a:rPr lang="en-US" sz="1600" b="0" i="0" u="none" strike="noStrike">
              <a:solidFill>
                <a:srgbClr val="000000"/>
              </a:solidFill>
              <a:latin typeface="Calibri"/>
              <a:ea typeface="Calibri"/>
              <a:cs typeface="Calibri"/>
            </a:rPr>
            <a:t>36.32</a:t>
          </a:fld>
          <a:endParaRPr lang="en-IN" sz="1200" b="1"/>
        </a:p>
      </xdr:txBody>
    </xdr:sp>
    <xdr:clientData/>
  </xdr:twoCellAnchor>
  <xdr:twoCellAnchor editAs="absolute">
    <xdr:from>
      <xdr:col>6</xdr:col>
      <xdr:colOff>408216</xdr:colOff>
      <xdr:row>6</xdr:row>
      <xdr:rowOff>5444</xdr:rowOff>
    </xdr:from>
    <xdr:to>
      <xdr:col>9</xdr:col>
      <xdr:colOff>97972</xdr:colOff>
      <xdr:row>7</xdr:row>
      <xdr:rowOff>27215</xdr:rowOff>
    </xdr:to>
    <xdr:sp macro="" textlink="">
      <xdr:nvSpPr>
        <xdr:cNvPr id="17" name="TextBox 16">
          <a:extLst>
            <a:ext uri="{FF2B5EF4-FFF2-40B4-BE49-F238E27FC236}">
              <a16:creationId xmlns:a16="http://schemas.microsoft.com/office/drawing/2014/main" id="{6CE504B9-11A5-0646-7529-C27C6C6E0A12}"/>
            </a:ext>
          </a:extLst>
        </xdr:cNvPr>
        <xdr:cNvSpPr txBox="1"/>
      </xdr:nvSpPr>
      <xdr:spPr>
        <a:xfrm>
          <a:off x="4065816" y="1115787"/>
          <a:ext cx="1518556" cy="206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a:t>Patient Satisfaction</a:t>
          </a:r>
          <a:r>
            <a:rPr lang="en-IN" sz="1000" b="1" baseline="0"/>
            <a:t> Score</a:t>
          </a:r>
          <a:endParaRPr lang="en-IN" sz="1000" b="1"/>
        </a:p>
      </xdr:txBody>
    </xdr:sp>
    <xdr:clientData/>
  </xdr:twoCellAnchor>
  <xdr:twoCellAnchor editAs="absolute">
    <xdr:from>
      <xdr:col>6</xdr:col>
      <xdr:colOff>408217</xdr:colOff>
      <xdr:row>4</xdr:row>
      <xdr:rowOff>54428</xdr:rowOff>
    </xdr:from>
    <xdr:to>
      <xdr:col>9</xdr:col>
      <xdr:colOff>87087</xdr:colOff>
      <xdr:row>5</xdr:row>
      <xdr:rowOff>81643</xdr:rowOff>
    </xdr:to>
    <xdr:sp macro="" textlink="'Pivot Report'!F15">
      <xdr:nvSpPr>
        <xdr:cNvPr id="19" name="TextBox 18">
          <a:extLst>
            <a:ext uri="{FF2B5EF4-FFF2-40B4-BE49-F238E27FC236}">
              <a16:creationId xmlns:a16="http://schemas.microsoft.com/office/drawing/2014/main" id="{A4A027E0-AB26-B837-5FCA-0490C494F4C3}"/>
            </a:ext>
          </a:extLst>
        </xdr:cNvPr>
        <xdr:cNvSpPr txBox="1"/>
      </xdr:nvSpPr>
      <xdr:spPr>
        <a:xfrm>
          <a:off x="4065817" y="794657"/>
          <a:ext cx="1507670" cy="212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38236C4-602C-4BCE-A151-BAA2756BFD70}" type="TxLink">
            <a:rPr lang="en-US" sz="1600" b="0" i="0" u="none" strike="noStrike">
              <a:solidFill>
                <a:srgbClr val="000000"/>
              </a:solidFill>
              <a:latin typeface="Calibri"/>
              <a:ea typeface="Calibri"/>
              <a:cs typeface="Calibri"/>
            </a:rPr>
            <a:t>4.96</a:t>
          </a:fld>
          <a:endParaRPr lang="en-IN" sz="1200" b="1"/>
        </a:p>
      </xdr:txBody>
    </xdr:sp>
    <xdr:clientData/>
  </xdr:twoCellAnchor>
  <xdr:twoCellAnchor editAs="oneCell">
    <xdr:from>
      <xdr:col>1</xdr:col>
      <xdr:colOff>310243</xdr:colOff>
      <xdr:row>3</xdr:row>
      <xdr:rowOff>141514</xdr:rowOff>
    </xdr:from>
    <xdr:to>
      <xdr:col>2</xdr:col>
      <xdr:colOff>97972</xdr:colOff>
      <xdr:row>5</xdr:row>
      <xdr:rowOff>168728</xdr:rowOff>
    </xdr:to>
    <xdr:pic>
      <xdr:nvPicPr>
        <xdr:cNvPr id="24" name="Graphic 23" descr="Male profile with solid fill">
          <a:extLst>
            <a:ext uri="{FF2B5EF4-FFF2-40B4-BE49-F238E27FC236}">
              <a16:creationId xmlns:a16="http://schemas.microsoft.com/office/drawing/2014/main" id="{85EF693D-953C-2BE9-A96A-977ABA8C6B4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19843" y="696685"/>
          <a:ext cx="397329" cy="397329"/>
        </a:xfrm>
        <a:prstGeom prst="rect">
          <a:avLst/>
        </a:prstGeom>
      </xdr:spPr>
    </xdr:pic>
    <xdr:clientData/>
  </xdr:twoCellAnchor>
  <xdr:twoCellAnchor editAs="oneCell">
    <xdr:from>
      <xdr:col>4</xdr:col>
      <xdr:colOff>81644</xdr:colOff>
      <xdr:row>3</xdr:row>
      <xdr:rowOff>157845</xdr:rowOff>
    </xdr:from>
    <xdr:to>
      <xdr:col>4</xdr:col>
      <xdr:colOff>429987</xdr:colOff>
      <xdr:row>5</xdr:row>
      <xdr:rowOff>136073</xdr:rowOff>
    </xdr:to>
    <xdr:pic>
      <xdr:nvPicPr>
        <xdr:cNvPr id="28" name="Graphic 27" descr="Stopwatch with solid fill">
          <a:extLst>
            <a:ext uri="{FF2B5EF4-FFF2-40B4-BE49-F238E27FC236}">
              <a16:creationId xmlns:a16="http://schemas.microsoft.com/office/drawing/2014/main" id="{410AE42D-69FA-0438-031D-E6BFD947855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520044" y="713016"/>
          <a:ext cx="348343" cy="348343"/>
        </a:xfrm>
        <a:prstGeom prst="rect">
          <a:avLst/>
        </a:prstGeom>
      </xdr:spPr>
    </xdr:pic>
    <xdr:clientData/>
  </xdr:twoCellAnchor>
  <xdr:twoCellAnchor editAs="oneCell">
    <xdr:from>
      <xdr:col>6</xdr:col>
      <xdr:colOff>457201</xdr:colOff>
      <xdr:row>3</xdr:row>
      <xdr:rowOff>174172</xdr:rowOff>
    </xdr:from>
    <xdr:to>
      <xdr:col>7</xdr:col>
      <xdr:colOff>174173</xdr:colOff>
      <xdr:row>5</xdr:row>
      <xdr:rowOff>130629</xdr:rowOff>
    </xdr:to>
    <xdr:pic>
      <xdr:nvPicPr>
        <xdr:cNvPr id="30" name="Graphic 29" descr="Customer review with solid fill">
          <a:extLst>
            <a:ext uri="{FF2B5EF4-FFF2-40B4-BE49-F238E27FC236}">
              <a16:creationId xmlns:a16="http://schemas.microsoft.com/office/drawing/2014/main" id="{82D6A6A1-1CF4-C1B2-3039-EB2F5524A3D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14801" y="729343"/>
          <a:ext cx="326572" cy="326572"/>
        </a:xfrm>
        <a:prstGeom prst="rect">
          <a:avLst/>
        </a:prstGeom>
      </xdr:spPr>
    </xdr:pic>
    <xdr:clientData/>
  </xdr:twoCellAnchor>
  <xdr:twoCellAnchor editAs="oneCell">
    <xdr:from>
      <xdr:col>0</xdr:col>
      <xdr:colOff>70758</xdr:colOff>
      <xdr:row>3</xdr:row>
      <xdr:rowOff>43543</xdr:rowOff>
    </xdr:from>
    <xdr:to>
      <xdr:col>1</xdr:col>
      <xdr:colOff>244608</xdr:colOff>
      <xdr:row>18</xdr:row>
      <xdr:rowOff>111685</xdr:rowOff>
    </xdr:to>
    <mc:AlternateContent xmlns:mc="http://schemas.openxmlformats.org/markup-compatibility/2006">
      <mc:Choice xmlns:a14="http://schemas.microsoft.com/office/drawing/2010/main" Requires="a14">
        <xdr:graphicFrame macro="">
          <xdr:nvGraphicFramePr>
            <xdr:cNvPr id="31" name="Date (Month) 1">
              <a:extLst>
                <a:ext uri="{FF2B5EF4-FFF2-40B4-BE49-F238E27FC236}">
                  <a16:creationId xmlns:a16="http://schemas.microsoft.com/office/drawing/2014/main" id="{1EEB8DFA-1F6C-4600-AD58-2F13787C571B}"/>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70758" y="598714"/>
              <a:ext cx="783450" cy="284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261257</xdr:colOff>
      <xdr:row>6</xdr:row>
      <xdr:rowOff>168728</xdr:rowOff>
    </xdr:from>
    <xdr:to>
      <xdr:col>4</xdr:col>
      <xdr:colOff>10885</xdr:colOff>
      <xdr:row>8</xdr:row>
      <xdr:rowOff>130626</xdr:rowOff>
    </xdr:to>
    <xdr:graphicFrame macro="">
      <xdr:nvGraphicFramePr>
        <xdr:cNvPr id="32" name="Chart 31">
          <a:hlinkClick xmlns:r="http://schemas.openxmlformats.org/officeDocument/2006/relationships" r:id="rId8"/>
          <a:extLst>
            <a:ext uri="{FF2B5EF4-FFF2-40B4-BE49-F238E27FC236}">
              <a16:creationId xmlns:a16="http://schemas.microsoft.com/office/drawing/2014/main" id="{CD5BA759-9FDF-4C75-AB64-67BF730F4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576945</xdr:colOff>
      <xdr:row>7</xdr:row>
      <xdr:rowOff>130629</xdr:rowOff>
    </xdr:from>
    <xdr:to>
      <xdr:col>6</xdr:col>
      <xdr:colOff>408215</xdr:colOff>
      <xdr:row>8</xdr:row>
      <xdr:rowOff>179612</xdr:rowOff>
    </xdr:to>
    <xdr:graphicFrame macro="">
      <xdr:nvGraphicFramePr>
        <xdr:cNvPr id="33" name="Chart 32">
          <a:hlinkClick xmlns:r="http://schemas.openxmlformats.org/officeDocument/2006/relationships" r:id="rId10"/>
          <a:extLst>
            <a:ext uri="{FF2B5EF4-FFF2-40B4-BE49-F238E27FC236}">
              <a16:creationId xmlns:a16="http://schemas.microsoft.com/office/drawing/2014/main" id="{37F1A0A6-63A0-4A02-BCFA-9814FF9D4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419100</xdr:colOff>
      <xdr:row>7</xdr:row>
      <xdr:rowOff>119743</xdr:rowOff>
    </xdr:from>
    <xdr:to>
      <xdr:col>9</xdr:col>
      <xdr:colOff>76200</xdr:colOff>
      <xdr:row>8</xdr:row>
      <xdr:rowOff>141513</xdr:rowOff>
    </xdr:to>
    <xdr:graphicFrame macro="">
      <xdr:nvGraphicFramePr>
        <xdr:cNvPr id="34" name="Chart 33">
          <a:hlinkClick xmlns:r="http://schemas.openxmlformats.org/officeDocument/2006/relationships" r:id="rId12"/>
          <a:extLst>
            <a:ext uri="{FF2B5EF4-FFF2-40B4-BE49-F238E27FC236}">
              <a16:creationId xmlns:a16="http://schemas.microsoft.com/office/drawing/2014/main" id="{0A7FC00A-DB17-4566-B6D4-836ABC565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364671</xdr:colOff>
          <xdr:row>9</xdr:row>
          <xdr:rowOff>70757</xdr:rowOff>
        </xdr:from>
        <xdr:to>
          <xdr:col>9</xdr:col>
          <xdr:colOff>81643</xdr:colOff>
          <xdr:row>12</xdr:row>
          <xdr:rowOff>168727</xdr:rowOff>
        </xdr:to>
        <xdr:pic>
          <xdr:nvPicPr>
            <xdr:cNvPr id="36" name="Picture 35">
              <a:extLst>
                <a:ext uri="{FF2B5EF4-FFF2-40B4-BE49-F238E27FC236}">
                  <a16:creationId xmlns:a16="http://schemas.microsoft.com/office/drawing/2014/main" id="{4EB0496F-96D3-0F59-3A89-10F4ABD1A39F}"/>
                </a:ext>
              </a:extLst>
            </xdr:cNvPr>
            <xdr:cNvPicPr>
              <a:picLocks noChangeAspect="1" noChangeArrowheads="1"/>
              <a:extLst>
                <a:ext uri="{84589F7E-364E-4C9E-8A38-B11213B215E9}">
                  <a14:cameraTool cellRange="'Pivot Report'!$C$26:$F$28" spid="_x0000_s1032"/>
                </a:ext>
              </a:extLst>
            </xdr:cNvPicPr>
          </xdr:nvPicPr>
          <xdr:blipFill>
            <a:blip xmlns:r="http://schemas.openxmlformats.org/officeDocument/2006/relationships" r:embed="rId14"/>
            <a:srcRect/>
            <a:stretch>
              <a:fillRect/>
            </a:stretch>
          </xdr:blipFill>
          <xdr:spPr bwMode="auto">
            <a:xfrm>
              <a:off x="974271" y="1736271"/>
              <a:ext cx="4593772" cy="65314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332014</xdr:colOff>
      <xdr:row>13</xdr:row>
      <xdr:rowOff>97970</xdr:rowOff>
    </xdr:from>
    <xdr:to>
      <xdr:col>9</xdr:col>
      <xdr:colOff>87086</xdr:colOff>
      <xdr:row>18</xdr:row>
      <xdr:rowOff>136071</xdr:rowOff>
    </xdr:to>
    <xdr:graphicFrame macro="">
      <xdr:nvGraphicFramePr>
        <xdr:cNvPr id="37" name="Chart 36">
          <a:extLst>
            <a:ext uri="{FF2B5EF4-FFF2-40B4-BE49-F238E27FC236}">
              <a16:creationId xmlns:a16="http://schemas.microsoft.com/office/drawing/2014/main" id="{72331BBD-9E96-4B98-A2D5-FB49C17B5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4</xdr:col>
      <xdr:colOff>70759</xdr:colOff>
      <xdr:row>13</xdr:row>
      <xdr:rowOff>76199</xdr:rowOff>
    </xdr:from>
    <xdr:to>
      <xdr:col>6</xdr:col>
      <xdr:colOff>370115</xdr:colOff>
      <xdr:row>14</xdr:row>
      <xdr:rowOff>97970</xdr:rowOff>
    </xdr:to>
    <xdr:sp macro="" textlink="">
      <xdr:nvSpPr>
        <xdr:cNvPr id="38" name="TextBox 37">
          <a:extLst>
            <a:ext uri="{FF2B5EF4-FFF2-40B4-BE49-F238E27FC236}">
              <a16:creationId xmlns:a16="http://schemas.microsoft.com/office/drawing/2014/main" id="{2BB649BF-F8DF-C952-B7C8-36C8AD3BDBDC}"/>
            </a:ext>
          </a:extLst>
        </xdr:cNvPr>
        <xdr:cNvSpPr txBox="1"/>
      </xdr:nvSpPr>
      <xdr:spPr>
        <a:xfrm>
          <a:off x="2509159" y="2481942"/>
          <a:ext cx="1518556" cy="206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a:t>No.</a:t>
          </a:r>
          <a:r>
            <a:rPr lang="en-IN" sz="1000" b="1" baseline="0"/>
            <a:t> of Patient by Age Group</a:t>
          </a:r>
          <a:endParaRPr lang="en-IN" sz="1000" b="1"/>
        </a:p>
      </xdr:txBody>
    </xdr:sp>
    <xdr:clientData/>
  </xdr:twoCellAnchor>
  <xdr:twoCellAnchor editAs="absolute">
    <xdr:from>
      <xdr:col>12</xdr:col>
      <xdr:colOff>76201</xdr:colOff>
      <xdr:row>0</xdr:row>
      <xdr:rowOff>168728</xdr:rowOff>
    </xdr:from>
    <xdr:to>
      <xdr:col>14</xdr:col>
      <xdr:colOff>375557</xdr:colOff>
      <xdr:row>2</xdr:row>
      <xdr:rowOff>5442</xdr:rowOff>
    </xdr:to>
    <xdr:sp macro="" textlink="">
      <xdr:nvSpPr>
        <xdr:cNvPr id="40" name="TextBox 39">
          <a:extLst>
            <a:ext uri="{FF2B5EF4-FFF2-40B4-BE49-F238E27FC236}">
              <a16:creationId xmlns:a16="http://schemas.microsoft.com/office/drawing/2014/main" id="{06215B42-92C9-062E-D384-13225D00954D}"/>
            </a:ext>
          </a:extLst>
        </xdr:cNvPr>
        <xdr:cNvSpPr txBox="1"/>
      </xdr:nvSpPr>
      <xdr:spPr>
        <a:xfrm>
          <a:off x="7391401" y="168728"/>
          <a:ext cx="1518556" cy="206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baseline="0"/>
            <a:t>Patient Attended Status</a:t>
          </a:r>
          <a:endParaRPr lang="en-IN" sz="1000" b="1"/>
        </a:p>
      </xdr:txBody>
    </xdr:sp>
    <xdr:clientData/>
  </xdr:twoCellAnchor>
  <xdr:twoCellAnchor>
    <xdr:from>
      <xdr:col>9</xdr:col>
      <xdr:colOff>149496</xdr:colOff>
      <xdr:row>0</xdr:row>
      <xdr:rowOff>66040</xdr:rowOff>
    </xdr:from>
    <xdr:to>
      <xdr:col>14</xdr:col>
      <xdr:colOff>398416</xdr:colOff>
      <xdr:row>9</xdr:row>
      <xdr:rowOff>5443</xdr:rowOff>
    </xdr:to>
    <xdr:grpSp>
      <xdr:nvGrpSpPr>
        <xdr:cNvPr id="46" name="Group 45">
          <a:extLst>
            <a:ext uri="{FF2B5EF4-FFF2-40B4-BE49-F238E27FC236}">
              <a16:creationId xmlns:a16="http://schemas.microsoft.com/office/drawing/2014/main" id="{382ED9AF-EA58-5F94-E85E-6625AEBEC0EC}"/>
            </a:ext>
          </a:extLst>
        </xdr:cNvPr>
        <xdr:cNvGrpSpPr/>
      </xdr:nvGrpSpPr>
      <xdr:grpSpPr>
        <a:xfrm>
          <a:off x="5635896" y="66040"/>
          <a:ext cx="3296920" cy="1604917"/>
          <a:chOff x="5652225" y="66040"/>
          <a:chExt cx="3296920" cy="1604917"/>
        </a:xfrm>
      </xdr:grpSpPr>
      <xdr:grpSp>
        <xdr:nvGrpSpPr>
          <xdr:cNvPr id="45" name="Group 44">
            <a:extLst>
              <a:ext uri="{FF2B5EF4-FFF2-40B4-BE49-F238E27FC236}">
                <a16:creationId xmlns:a16="http://schemas.microsoft.com/office/drawing/2014/main" id="{9DA9663B-0F3B-9C86-F7CC-009E3FE2F7A4}"/>
              </a:ext>
            </a:extLst>
          </xdr:cNvPr>
          <xdr:cNvGrpSpPr/>
        </xdr:nvGrpSpPr>
        <xdr:grpSpPr>
          <a:xfrm>
            <a:off x="5652225" y="66040"/>
            <a:ext cx="3296920" cy="1604917"/>
            <a:chOff x="5652225" y="66040"/>
            <a:chExt cx="3296920" cy="1604917"/>
          </a:xfrm>
        </xdr:grpSpPr>
        <xdr:grpSp>
          <xdr:nvGrpSpPr>
            <xdr:cNvPr id="21" name="Group 20">
              <a:extLst>
                <a:ext uri="{FF2B5EF4-FFF2-40B4-BE49-F238E27FC236}">
                  <a16:creationId xmlns:a16="http://schemas.microsoft.com/office/drawing/2014/main" id="{D9D37524-1D3F-4091-8F4A-3A27EBD89089}"/>
                </a:ext>
              </a:extLst>
            </xdr:cNvPr>
            <xdr:cNvGrpSpPr/>
          </xdr:nvGrpSpPr>
          <xdr:grpSpPr>
            <a:xfrm>
              <a:off x="5652225" y="66040"/>
              <a:ext cx="3296920" cy="1604917"/>
              <a:chOff x="5679440" y="66040"/>
              <a:chExt cx="3296920" cy="1706154"/>
            </a:xfrm>
          </xdr:grpSpPr>
          <xdr:sp macro="" textlink="">
            <xdr:nvSpPr>
              <xdr:cNvPr id="4" name="Rectangle: Rounded Corners 3">
                <a:extLst>
                  <a:ext uri="{FF2B5EF4-FFF2-40B4-BE49-F238E27FC236}">
                    <a16:creationId xmlns:a16="http://schemas.microsoft.com/office/drawing/2014/main" id="{37FCA18E-9001-012A-0189-01A1B37DA822}"/>
                  </a:ext>
                </a:extLst>
              </xdr:cNvPr>
              <xdr:cNvSpPr/>
            </xdr:nvSpPr>
            <xdr:spPr>
              <a:xfrm>
                <a:off x="5679440" y="66040"/>
                <a:ext cx="1600200" cy="1706154"/>
              </a:xfrm>
              <a:prstGeom prst="roundRect">
                <a:avLst>
                  <a:gd name="adj" fmla="val 1150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6" name="Rectangle: Rounded Corners 5">
                <a:extLst>
                  <a:ext uri="{FF2B5EF4-FFF2-40B4-BE49-F238E27FC236}">
                    <a16:creationId xmlns:a16="http://schemas.microsoft.com/office/drawing/2014/main" id="{2A6FDC0F-2977-D33C-8CB8-48A5FD475931}"/>
                  </a:ext>
                </a:extLst>
              </xdr:cNvPr>
              <xdr:cNvSpPr/>
            </xdr:nvSpPr>
            <xdr:spPr>
              <a:xfrm>
                <a:off x="7376160" y="66040"/>
                <a:ext cx="1600200" cy="1706154"/>
              </a:xfrm>
              <a:prstGeom prst="roundRect">
                <a:avLst>
                  <a:gd name="adj" fmla="val 800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graphicFrame macro="">
          <xdr:nvGraphicFramePr>
            <xdr:cNvPr id="39" name="Chart 38">
              <a:extLst>
                <a:ext uri="{FF2B5EF4-FFF2-40B4-BE49-F238E27FC236}">
                  <a16:creationId xmlns:a16="http://schemas.microsoft.com/office/drawing/2014/main" id="{99D5C32A-1388-4D3C-8234-18575A2AC985}"/>
                </a:ext>
              </a:extLst>
            </xdr:cNvPr>
            <xdr:cNvGraphicFramePr>
              <a:graphicFrameLocks/>
            </xdr:cNvGraphicFramePr>
          </xdr:nvGraphicFramePr>
          <xdr:xfrm>
            <a:off x="7342414" y="125185"/>
            <a:ext cx="1600200" cy="1480457"/>
          </xdr:xfrm>
          <a:graphic>
            <a:graphicData uri="http://schemas.openxmlformats.org/drawingml/2006/chart">
              <c:chart xmlns:c="http://schemas.openxmlformats.org/drawingml/2006/chart" xmlns:r="http://schemas.openxmlformats.org/officeDocument/2006/relationships" r:id="rId16"/>
            </a:graphicData>
          </a:graphic>
        </xdr:graphicFrame>
      </xdr:grpSp>
      <xdr:graphicFrame macro="">
        <xdr:nvGraphicFramePr>
          <xdr:cNvPr id="41" name="Chart 40">
            <a:extLst>
              <a:ext uri="{FF2B5EF4-FFF2-40B4-BE49-F238E27FC236}">
                <a16:creationId xmlns:a16="http://schemas.microsoft.com/office/drawing/2014/main" id="{FC28D777-E2EB-41F9-9C94-E9DFB1730962}"/>
              </a:ext>
            </a:extLst>
          </xdr:cNvPr>
          <xdr:cNvGraphicFramePr>
            <a:graphicFrameLocks/>
          </xdr:cNvGraphicFramePr>
        </xdr:nvGraphicFramePr>
        <xdr:xfrm>
          <a:off x="5687787" y="130628"/>
          <a:ext cx="1534884" cy="1485901"/>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editAs="absolute">
    <xdr:from>
      <xdr:col>9</xdr:col>
      <xdr:colOff>201386</xdr:colOff>
      <xdr:row>0</xdr:row>
      <xdr:rowOff>179613</xdr:rowOff>
    </xdr:from>
    <xdr:to>
      <xdr:col>11</xdr:col>
      <xdr:colOff>500742</xdr:colOff>
      <xdr:row>2</xdr:row>
      <xdr:rowOff>16327</xdr:rowOff>
    </xdr:to>
    <xdr:sp macro="" textlink="">
      <xdr:nvSpPr>
        <xdr:cNvPr id="42" name="TextBox 41">
          <a:extLst>
            <a:ext uri="{FF2B5EF4-FFF2-40B4-BE49-F238E27FC236}">
              <a16:creationId xmlns:a16="http://schemas.microsoft.com/office/drawing/2014/main" id="{6A8FD14E-384B-FE4D-36DC-8085932D91C4}"/>
            </a:ext>
          </a:extLst>
        </xdr:cNvPr>
        <xdr:cNvSpPr txBox="1"/>
      </xdr:nvSpPr>
      <xdr:spPr>
        <a:xfrm>
          <a:off x="5687786" y="179613"/>
          <a:ext cx="1518556" cy="206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baseline="0"/>
            <a:t>Patient by Gender</a:t>
          </a:r>
          <a:endParaRPr lang="en-IN" sz="1000" b="1"/>
        </a:p>
      </xdr:txBody>
    </xdr:sp>
    <xdr:clientData/>
  </xdr:twoCellAnchor>
  <xdr:twoCellAnchor>
    <xdr:from>
      <xdr:col>9</xdr:col>
      <xdr:colOff>171268</xdr:colOff>
      <xdr:row>9</xdr:row>
      <xdr:rowOff>60596</xdr:rowOff>
    </xdr:from>
    <xdr:to>
      <xdr:col>14</xdr:col>
      <xdr:colOff>429985</xdr:colOff>
      <xdr:row>18</xdr:row>
      <xdr:rowOff>136071</xdr:rowOff>
    </xdr:to>
    <xdr:grpSp>
      <xdr:nvGrpSpPr>
        <xdr:cNvPr id="48" name="Group 47">
          <a:extLst>
            <a:ext uri="{FF2B5EF4-FFF2-40B4-BE49-F238E27FC236}">
              <a16:creationId xmlns:a16="http://schemas.microsoft.com/office/drawing/2014/main" id="{110B83CD-4441-84DA-1A94-4A9F41B3844A}"/>
            </a:ext>
          </a:extLst>
        </xdr:cNvPr>
        <xdr:cNvGrpSpPr/>
      </xdr:nvGrpSpPr>
      <xdr:grpSpPr>
        <a:xfrm>
          <a:off x="5657668" y="1726110"/>
          <a:ext cx="3306717" cy="1740990"/>
          <a:chOff x="5657668" y="1726110"/>
          <a:chExt cx="3306717" cy="1740990"/>
        </a:xfrm>
      </xdr:grpSpPr>
      <xdr:grpSp>
        <xdr:nvGrpSpPr>
          <xdr:cNvPr id="47" name="Group 46">
            <a:extLst>
              <a:ext uri="{FF2B5EF4-FFF2-40B4-BE49-F238E27FC236}">
                <a16:creationId xmlns:a16="http://schemas.microsoft.com/office/drawing/2014/main" id="{E0DD26B7-39BF-7455-3474-A12396B8ACC6}"/>
              </a:ext>
            </a:extLst>
          </xdr:cNvPr>
          <xdr:cNvGrpSpPr/>
        </xdr:nvGrpSpPr>
        <xdr:grpSpPr>
          <a:xfrm>
            <a:off x="5657668" y="1726110"/>
            <a:ext cx="3306717" cy="1740990"/>
            <a:chOff x="5673997" y="1731553"/>
            <a:chExt cx="3306717" cy="1740990"/>
          </a:xfrm>
        </xdr:grpSpPr>
        <xdr:sp macro="" textlink="">
          <xdr:nvSpPr>
            <xdr:cNvPr id="23" name="Rectangle: Rounded Corners 22">
              <a:extLst>
                <a:ext uri="{FF2B5EF4-FFF2-40B4-BE49-F238E27FC236}">
                  <a16:creationId xmlns:a16="http://schemas.microsoft.com/office/drawing/2014/main" id="{C1AB0A6A-F262-1756-12D1-5AA2C95E2FF5}"/>
                </a:ext>
              </a:extLst>
            </xdr:cNvPr>
            <xdr:cNvSpPr/>
          </xdr:nvSpPr>
          <xdr:spPr>
            <a:xfrm>
              <a:off x="5673997" y="1731553"/>
              <a:ext cx="3306717" cy="1740990"/>
            </a:xfrm>
            <a:prstGeom prst="roundRect">
              <a:avLst>
                <a:gd name="adj" fmla="val 1150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43" name="Chart 42">
              <a:extLst>
                <a:ext uri="{FF2B5EF4-FFF2-40B4-BE49-F238E27FC236}">
                  <a16:creationId xmlns:a16="http://schemas.microsoft.com/office/drawing/2014/main" id="{5A2B23A8-3136-4C47-893B-96F6EA6C5C18}"/>
                </a:ext>
              </a:extLst>
            </xdr:cNvPr>
            <xdr:cNvGraphicFramePr>
              <a:graphicFrameLocks/>
            </xdr:cNvGraphicFramePr>
          </xdr:nvGraphicFramePr>
          <xdr:xfrm>
            <a:off x="5725885" y="1959428"/>
            <a:ext cx="3222171" cy="1431471"/>
          </xdr:xfrm>
          <a:graphic>
            <a:graphicData uri="http://schemas.openxmlformats.org/drawingml/2006/chart">
              <c:chart xmlns:c="http://schemas.openxmlformats.org/drawingml/2006/chart" xmlns:r="http://schemas.openxmlformats.org/officeDocument/2006/relationships" r:id="rId18"/>
            </a:graphicData>
          </a:graphic>
        </xdr:graphicFrame>
      </xdr:grpSp>
      <xdr:sp macro="" textlink="">
        <xdr:nvSpPr>
          <xdr:cNvPr id="44" name="TextBox 43">
            <a:extLst>
              <a:ext uri="{FF2B5EF4-FFF2-40B4-BE49-F238E27FC236}">
                <a16:creationId xmlns:a16="http://schemas.microsoft.com/office/drawing/2014/main" id="{A2BC7DF6-5DC4-47F3-4C89-0B5B1DD88EC6}"/>
              </a:ext>
            </a:extLst>
          </xdr:cNvPr>
          <xdr:cNvSpPr txBox="1"/>
        </xdr:nvSpPr>
        <xdr:spPr>
          <a:xfrm>
            <a:off x="6237514" y="1758042"/>
            <a:ext cx="2237013" cy="206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baseline="0"/>
              <a:t>No. Of Patient by Department Referral</a:t>
            </a:r>
            <a:endParaRPr lang="en-IN" sz="1000" b="1"/>
          </a:p>
        </xdr:txBody>
      </xdr:sp>
    </xdr:grpSp>
    <xdr:clientData/>
  </xdr:twoCellAnchor>
  <xdr:twoCellAnchor editAs="oneCell">
    <xdr:from>
      <xdr:col>6</xdr:col>
      <xdr:colOff>97971</xdr:colOff>
      <xdr:row>0</xdr:row>
      <xdr:rowOff>81644</xdr:rowOff>
    </xdr:from>
    <xdr:to>
      <xdr:col>9</xdr:col>
      <xdr:colOff>87085</xdr:colOff>
      <xdr:row>2</xdr:row>
      <xdr:rowOff>135986</xdr:rowOff>
    </xdr:to>
    <mc:AlternateContent xmlns:mc="http://schemas.openxmlformats.org/markup-compatibility/2006">
      <mc:Choice xmlns:a14="http://schemas.microsoft.com/office/drawing/2010/main" Requires="a14">
        <xdr:graphicFrame macro="">
          <xdr:nvGraphicFramePr>
            <xdr:cNvPr id="49" name="Date (Year) 1">
              <a:extLst>
                <a:ext uri="{FF2B5EF4-FFF2-40B4-BE49-F238E27FC236}">
                  <a16:creationId xmlns:a16="http://schemas.microsoft.com/office/drawing/2014/main" id="{49D3679F-7D30-4424-B632-232A5A5B0A99}"/>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755571" y="81644"/>
              <a:ext cx="1817914" cy="424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289560</xdr:colOff>
      <xdr:row>0</xdr:row>
      <xdr:rowOff>91440</xdr:rowOff>
    </xdr:from>
    <xdr:to>
      <xdr:col>11</xdr:col>
      <xdr:colOff>220980</xdr:colOff>
      <xdr:row>15</xdr:row>
      <xdr:rowOff>91440</xdr:rowOff>
    </xdr:to>
    <xdr:graphicFrame macro="">
      <xdr:nvGraphicFramePr>
        <xdr:cNvPr id="2" name="Chart 1">
          <a:extLst>
            <a:ext uri="{FF2B5EF4-FFF2-40B4-BE49-F238E27FC236}">
              <a16:creationId xmlns:a16="http://schemas.microsoft.com/office/drawing/2014/main" id="{DE0C634A-FF56-45DA-9631-08ACF1EE6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7620</xdr:rowOff>
    </xdr:from>
    <xdr:to>
      <xdr:col>0</xdr:col>
      <xdr:colOff>320040</xdr:colOff>
      <xdr:row>1</xdr:row>
      <xdr:rowOff>144780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00CFD8C5-AAC2-E844-3BE4-A29C85A869A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7620"/>
          <a:ext cx="320040" cy="3200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327660</xdr:colOff>
      <xdr:row>0</xdr:row>
      <xdr:rowOff>15240</xdr:rowOff>
    </xdr:from>
    <xdr:to>
      <xdr:col>13</xdr:col>
      <xdr:colOff>403860</xdr:colOff>
      <xdr:row>16</xdr:row>
      <xdr:rowOff>83820</xdr:rowOff>
    </xdr:to>
    <xdr:graphicFrame macro="">
      <xdr:nvGraphicFramePr>
        <xdr:cNvPr id="3" name="Chart 2">
          <a:extLst>
            <a:ext uri="{FF2B5EF4-FFF2-40B4-BE49-F238E27FC236}">
              <a16:creationId xmlns:a16="http://schemas.microsoft.com/office/drawing/2014/main" id="{190A25D1-FEF8-40D8-8716-8FB722138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91440</xdr:rowOff>
    </xdr:from>
    <xdr:to>
      <xdr:col>0</xdr:col>
      <xdr:colOff>320040</xdr:colOff>
      <xdr:row>2</xdr:row>
      <xdr:rowOff>45720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13A78DAD-2DE3-40FF-8DA0-77103A017B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91440"/>
          <a:ext cx="320040" cy="3200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0</xdr:col>
      <xdr:colOff>320040</xdr:colOff>
      <xdr:row>2</xdr:row>
      <xdr:rowOff>45720</xdr:rowOff>
    </xdr:to>
    <xdr:pic>
      <xdr:nvPicPr>
        <xdr:cNvPr id="3" name="Graphic 2" descr="House with solid fill">
          <a:hlinkClick xmlns:r="http://schemas.openxmlformats.org/officeDocument/2006/relationships" r:id="rId1"/>
          <a:extLst>
            <a:ext uri="{FF2B5EF4-FFF2-40B4-BE49-F238E27FC236}">
              <a16:creationId xmlns:a16="http://schemas.microsoft.com/office/drawing/2014/main" id="{F591E4C7-4FDB-4DB3-9B86-C9A9E5A60A5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91440"/>
          <a:ext cx="320040" cy="320040"/>
        </a:xfrm>
        <a:prstGeom prst="rect">
          <a:avLst/>
        </a:prstGeom>
      </xdr:spPr>
    </xdr:pic>
    <xdr:clientData/>
  </xdr:twoCellAnchor>
  <xdr:twoCellAnchor>
    <xdr:from>
      <xdr:col>0</xdr:col>
      <xdr:colOff>365760</xdr:colOff>
      <xdr:row>0</xdr:row>
      <xdr:rowOff>68580</xdr:rowOff>
    </xdr:from>
    <xdr:to>
      <xdr:col>9</xdr:col>
      <xdr:colOff>175260</xdr:colOff>
      <xdr:row>15</xdr:row>
      <xdr:rowOff>68580</xdr:rowOff>
    </xdr:to>
    <xdr:graphicFrame macro="">
      <xdr:nvGraphicFramePr>
        <xdr:cNvPr id="4" name="Chart 3">
          <a:extLst>
            <a:ext uri="{FF2B5EF4-FFF2-40B4-BE49-F238E27FC236}">
              <a16:creationId xmlns:a16="http://schemas.microsoft.com/office/drawing/2014/main" id="{01D125ED-6528-4FA6-82DC-612B66353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SOLANKI" refreshedDate="46203.718131134257" createdVersion="5" refreshedVersion="8" minRefreshableVersion="3" recordCount="0" supportSubquery="1" supportAdvancedDrill="1" xr:uid="{2B67DBFE-1F4F-491C-9E0F-5BF6AD090AC5}">
  <cacheSource type="external" connectionId="3"/>
  <cacheFields count="3">
    <cacheField name="[Measures].[Distinct Count of Patient Id]" caption="Distinct Count of Patient Id" numFmtId="0" hierarchy="23" level="32767"/>
    <cacheField name="[Cale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Table].[Date (Month)].[Date (Month)]" caption="Date (Month)" numFmtId="0" hierarchy="1" level="1">
      <sharedItems containsSemiMixedTypes="0" containsNonDate="0" containsString="0"/>
    </cacheField>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SOLANKI" refreshedDate="46203.718131250003" createdVersion="5" refreshedVersion="8" minRefreshableVersion="3" recordCount="0" supportSubquery="1" supportAdvancedDrill="1" xr:uid="{5C6C0E56-A444-4B52-9DEC-61A3F129923A}">
  <cacheSource type="external" connectionId="3"/>
  <cacheFields count="2">
    <cacheField name="[Measures].[Distinct Count of Patient Id]" caption="Distinct Count of Patient Id" numFmtId="0" hierarchy="23" level="32767"/>
    <cacheField name="[Calender Table].[Date (Month)].[Date (Month)]" caption="Date (Month)" numFmtId="0" hierarchy="1" level="1">
      <sharedItems containsSemiMixedTypes="0" containsNonDate="0" containsString="0"/>
    </cacheField>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SOLANKI" refreshedDate="46203.718131481481" createdVersion="5" refreshedVersion="8" minRefreshableVersion="3" recordCount="0" supportSubquery="1" supportAdvancedDrill="1" xr:uid="{261D517B-B70D-4FFF-9E93-7A9DD155ABED}">
  <cacheSource type="external" connectionId="3"/>
  <cacheFields count="2">
    <cacheField name="[Measures].[Average of Patient Waittime]" caption="Average of Patient Waittime" numFmtId="0" hierarchy="25" level="32767"/>
    <cacheField name="[Calender Table].[Date (Month)].[Date (Month)]" caption="Date (Month)" numFmtId="0" hierarchy="1" level="1">
      <sharedItems containsSemiMixedTypes="0" containsNonDate="0" containsString="0"/>
    </cacheField>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SOLANKI" refreshedDate="46203.718131712965" createdVersion="5" refreshedVersion="8" minRefreshableVersion="3" recordCount="0" supportSubquery="1" supportAdvancedDrill="1" xr:uid="{549D36BC-81BE-4EBA-9211-F91244FCA1C0}">
  <cacheSource type="external" connectionId="3"/>
  <cacheFields count="2">
    <cacheField name="[Measures].[Average of Patient Satisfaction Score]" caption="Average of Patient Satisfaction Score" numFmtId="0" hierarchy="27" level="32767"/>
    <cacheField name="[Calender Table].[Date (Month)].[Date (Month)]" caption="Date (Month)" numFmtId="0" hierarchy="1" level="1">
      <sharedItems containsSemiMixedTypes="0" containsNonDate="0" containsString="0"/>
    </cacheField>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SOLANKI" refreshedDate="46203.718132175927" createdVersion="5" refreshedVersion="8" minRefreshableVersion="3" recordCount="0" supportSubquery="1" supportAdvancedDrill="1" xr:uid="{073FB26C-F3F4-4581-9F26-AF058756DCDB}">
  <cacheSource type="external" connectionId="3"/>
  <cacheFields count="3">
    <cacheField name="[Cale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SOLANKI" refreshedDate="46203.718132754628" createdVersion="5" refreshedVersion="8" minRefreshableVersion="3" recordCount="0" supportSubquery="1" supportAdvancedDrill="1" xr:uid="{8EF52273-52A2-4AA2-BF9E-DF240FE228B1}">
  <cacheSource type="external" connectionId="3"/>
  <cacheFields count="3">
    <cacheField name="[Cale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SOLANKI" refreshedDate="46203.718133333336" createdVersion="5" refreshedVersion="8" minRefreshableVersion="3" recordCount="0" supportSubquery="1" supportAdvancedDrill="1" xr:uid="{8776F9EC-0801-47CD-9866-BFA2EC35E343}">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2" level="1">
      <sharedItems count="2">
        <s v="Admitted"/>
        <s v="Not Admitted"/>
      </sharedItems>
    </cacheField>
    <cacheField name="[Measures].[Count of Patient Admission Flag]" caption="Count of Patient Admission Flag" numFmtId="0" hierarchy="28" level="32767"/>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SOLANKI" refreshedDate="46203.718133912036" createdVersion="5" refreshedVersion="8" minRefreshableVersion="3" recordCount="0" supportSubquery="1" supportAdvancedDrill="1" xr:uid="{07DAF712-1361-449A-BD13-7EAA7C567AB2}">
  <cacheSource type="external" connectionId="3"/>
  <cacheFields count="3">
    <cacheField name="[Calender Table].[Date (Month)].[Date (Month)]" caption="Date (Month)" numFmtId="0" hierarchy="1" level="1">
      <sharedItems containsSemiMixedTypes="0" containsNonDate="0" containsString="0"/>
    </cacheField>
    <cacheField name="[Hospital Emergency Room Data].[Age Group].[Age Group]" caption="Age Group" numFmtId="0" hierarchy="15" level="1">
      <sharedItems count="8">
        <s v="0-10"/>
        <s v="10-20"/>
        <s v="20-30"/>
        <s v="30-40"/>
        <s v="40-50"/>
        <s v="50-60"/>
        <s v="60-70"/>
        <s v="70-80"/>
      </sharedItems>
    </cacheField>
    <cacheField name="[Measures].[Count of Age Group]" caption="Count of Age Group" numFmtId="0" hierarchy="29" level="32767"/>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SOLANKI" refreshedDate="46203.718134374998" createdVersion="5" refreshedVersion="8" minRefreshableVersion="3" recordCount="0" supportSubquery="1" supportAdvancedDrill="1" xr:uid="{175FA3B8-B511-4F08-A410-C6C9A4401B28}">
  <cacheSource type="external" connectionId="3"/>
  <cacheFields count="3">
    <cacheField name="[Calender 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6" level="1">
      <sharedItems count="2">
        <s v="Delayed"/>
        <s v="On time"/>
      </sharedItems>
    </cacheField>
    <cacheField name="[Measures].[Count of Patient Attend Status]" caption="Count of Patient Attend Status" numFmtId="0" hierarchy="30" level="32767"/>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SOLANKI" refreshedDate="46203.718134953706" createdVersion="5" refreshedVersion="8" minRefreshableVersion="3" recordCount="0" supportSubquery="1" supportAdvancedDrill="1" xr:uid="{92DE4E9E-2782-46FE-AFAC-4655C5A5E9EB}">
  <cacheSource type="external" connectionId="3"/>
  <cacheFields count="3">
    <cacheField name="[Calender Table].[Date (Month)].[Date (Month)]" caption="Date (Month)" numFmtId="0" hierarchy="1" level="1">
      <sharedItems containsSemiMixedTypes="0" containsNonDate="0" containsString="0"/>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31" level="32767"/>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SOLANKI" refreshedDate="46203.718135532406" createdVersion="5" refreshedVersion="8" minRefreshableVersion="3" recordCount="0" supportSubquery="1" supportAdvancedDrill="1" xr:uid="{8024E5F7-C932-4D05-BB4F-DB01A94ACFA5}">
  <cacheSource type="external" connectionId="3"/>
  <cacheFields count="3">
    <cacheField name="[Calende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SOLANKI" refreshedDate="46203.718135995368" createdVersion="5" refreshedVersion="8" minRefreshableVersion="3" recordCount="0" supportSubquery="1" supportAdvancedDrill="1" xr:uid="{5C2ACC4C-9F82-481A-8F59-1419AAAC5CAC}">
  <cacheSource type="external" connectionId="3"/>
  <cacheFields count="3">
    <cacheField name="[Calender Table].[Date (Month)].[Date (Month)]" caption="Date (Month)" numFmtId="0" hierarchy="1" level="1">
      <sharedItems containsSemiMixedTypes="0" containsNonDate="0" containsString="0"/>
    </cacheField>
    <cacheField name="[Calender 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er Table].[Date (Year)].[Date (Year)]" caption="Date (Year)" numFmtId="0" hierarchy="3" level="1">
      <sharedItems count="2">
        <s v="2023"/>
        <s v="2024"/>
      </sharedItems>
    </cacheField>
  </cacheFields>
  <cacheHierarchies count="33">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SOLANKI" refreshedDate="46203.710657870368" createdVersion="3" refreshedVersion="8" minRefreshableVersion="3" recordCount="0" supportSubquery="1" supportAdvancedDrill="1" xr:uid="{6223EBE7-C8AF-4580-ABA9-4A1D82189792}">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5019565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B71D51-7C87-4104-9CE1-E69DA9D540DE}" name="PivotTable13" cacheId="941" applyNumberFormats="0" applyBorderFormats="0" applyFontFormats="0" applyPatternFormats="0" applyAlignmentFormats="0" applyWidthHeightFormats="1" dataCaption="Values" tag="d3323898-fa67-4dc5-8d83-9e17b695b355" updatedVersion="8" minRefreshableVersion="3" subtotalHiddenItems="1" itemPrintTitles="1" createdVersion="5" indent="0" outline="1" outlineData="1" multipleFieldFilters="0" chartFormat="21">
  <location ref="G46:G4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2">
        <item x="0" e="0"/>
        <item x="1" e="0"/>
      </items>
    </pivotField>
  </pivotFields>
  <rowFields count="2">
    <field x="2"/>
    <field x="1"/>
  </rowFields>
  <rowItems count="3">
    <i>
      <x/>
    </i>
    <i>
      <x v="1"/>
    </i>
    <i t="grand">
      <x/>
    </i>
  </rowItems>
  <formats count="1">
    <format dxfId="205">
      <pivotArea outline="0" collapsedLevelsAreSubtotals="1" fieldPosition="0"/>
    </format>
  </formats>
  <pivotHierarchies count="33">
    <pivotHierarchy dragToData="1"/>
    <pivotHierarchy multipleItemSelectionAllowed="1" dragToData="1">
      <members count="1" level="1">
        <member name="[Calende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D518D7-8B7F-4A98-BDD3-3E3BF3235E9C}" name="PivotTable11" cacheId="938" applyNumberFormats="0" applyBorderFormats="0" applyFontFormats="0" applyPatternFormats="0" applyAlignmentFormats="0" applyWidthHeightFormats="1" dataCaption="Values" tag="0253e8ee-0064-4700-9b54-8ca150b135ee" updatedVersion="8" minRefreshableVersion="3" subtotalHiddenItems="1" itemPrintTitles="1" createdVersion="5" indent="0" outline="1" outlineData="1" multipleFieldFilters="0" chartFormat="30">
  <location ref="D62:E71"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224">
      <pivotArea outline="0" collapsedLevelsAreSubtotals="1" fieldPosition="0"/>
    </format>
  </formats>
  <chartFormats count="3">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293AFA-9C34-4D79-A2AB-B3D1DCF585CE}" name="PivotTable10" cacheId="935" applyNumberFormats="0" applyBorderFormats="0" applyFontFormats="0" applyPatternFormats="0" applyAlignmentFormats="0" applyWidthHeightFormats="1" dataCaption="Values" tag="65cb7188-4bb4-477f-b7e7-ffefdf172f3b" updatedVersion="8" minRefreshableVersion="3" subtotalHiddenItems="1" itemPrintTitles="1" createdVersion="5" indent="0" outline="1" outlineData="1" multipleFieldFilters="0" chartFormat="26">
  <location ref="D56:E5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225">
      <pivotArea outline="0" collapsedLevelsAreSubtotals="1" fieldPosition="0"/>
    </format>
  </formats>
  <chartFormats count="3">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1" count="1" selected="0">
            <x v="0"/>
          </reference>
        </references>
      </pivotArea>
    </chartFormat>
    <chartFormat chart="24"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F81A0C-8483-4614-A09E-766C5815C421}" name="PivotTable9" cacheId="932" applyNumberFormats="0" applyBorderFormats="0" applyFontFormats="0" applyPatternFormats="0" applyAlignmentFormats="0" applyWidthHeightFormats="1" dataCaption="Values" tag="ec68ef14-2fa3-4502-a300-0883298df02c" updatedVersion="8" minRefreshableVersion="3" subtotalHiddenItems="1" itemPrintTitles="1" createdVersion="5" indent="0" outline="1" outlineData="1" multipleFieldFilters="0" chartFormat="21">
  <location ref="D47:E5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1">
    <format dxfId="226">
      <pivotArea outline="0" collapsedLevelsAreSubtotals="1" fieldPosition="0"/>
    </format>
  </format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7BC6D3-0473-47E9-8FEB-9A75DEE55AAF}" name="PivotTable8" cacheId="929" applyNumberFormats="0" applyBorderFormats="0" applyFontFormats="0" applyPatternFormats="0" applyAlignmentFormats="0" applyWidthHeightFormats="1" dataCaption="Values" tag="da7d6c39-05be-4062-8f64-a4d3dc217d73" updatedVersion="8" minRefreshableVersion="3" subtotalHiddenItems="1" itemPrintTitles="1" createdVersion="5" indent="0" outline="1" outlineData="1" multipleFieldFilters="0" chartFormat="16">
  <location ref="D33:E4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2">
    <format dxfId="228">
      <pivotArea collapsedLevelsAreSubtotals="1" fieldPosition="0">
        <references count="1">
          <reference field="1" count="1">
            <x v="1"/>
          </reference>
        </references>
      </pivotArea>
    </format>
    <format dxfId="227">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24F539-96C2-4105-8750-E87E176FB320}" name="PivotTable7" cacheId="926" applyNumberFormats="0" applyBorderFormats="0" applyFontFormats="0" applyPatternFormats="0" applyAlignmentFormats="0" applyWidthHeightFormats="1" dataCaption="Values" tag="e937707a-f1c3-4723-b395-b6477f6b074c" updatedVersion="8" minRefreshableVersion="3" subtotalHiddenItems="1" itemPrintTitles="1" createdVersion="5" indent="0" outline="1" outlineData="1" multipleFieldFilters="0" chartFormat="12">
  <location ref="F20:H23"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14">
    <format dxfId="230">
      <pivotArea outline="0" collapsedLevelsAreSubtotals="1" fieldPosition="0"/>
    </format>
    <format dxfId="229">
      <pivotArea outline="0" fieldPosition="0">
        <references count="1">
          <reference field="4294967294" count="1">
            <x v="1"/>
          </reference>
        </references>
      </pivotArea>
    </format>
    <format dxfId="131">
      <pivotArea type="all" dataOnly="0" outline="0" fieldPosition="0"/>
    </format>
    <format dxfId="130">
      <pivotArea outline="0" collapsedLevelsAreSubtotals="1" fieldPosition="0"/>
    </format>
    <format dxfId="129">
      <pivotArea field="1" type="button" dataOnly="0" labelOnly="1" outline="0" axis="axisRow" fieldPosition="0"/>
    </format>
    <format dxfId="128">
      <pivotArea dataOnly="0" labelOnly="1" fieldPosition="0">
        <references count="1">
          <reference field="1" count="0"/>
        </references>
      </pivotArea>
    </format>
    <format dxfId="127">
      <pivotArea dataOnly="0" labelOnly="1" grandRow="1" outline="0" fieldPosition="0"/>
    </format>
    <format dxfId="126">
      <pivotArea dataOnly="0" labelOnly="1" outline="0" fieldPosition="0">
        <references count="1">
          <reference field="4294967294" count="2">
            <x v="0"/>
            <x v="1"/>
          </reference>
        </references>
      </pivotArea>
    </format>
    <format dxfId="125">
      <pivotArea type="all" dataOnly="0" outline="0" fieldPosition="0"/>
    </format>
    <format dxfId="124">
      <pivotArea outline="0" collapsedLevelsAreSubtotals="1" fieldPosition="0"/>
    </format>
    <format dxfId="123">
      <pivotArea field="1" type="button" dataOnly="0" labelOnly="1" outline="0" axis="axisRow" fieldPosition="0"/>
    </format>
    <format dxfId="122">
      <pivotArea dataOnly="0" labelOnly="1" fieldPosition="0">
        <references count="1">
          <reference field="1" count="0"/>
        </references>
      </pivotArea>
    </format>
    <format dxfId="121">
      <pivotArea dataOnly="0" labelOnly="1" grandRow="1" outline="0" fieldPosition="0"/>
    </format>
    <format dxfId="120">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05B614-6DC6-45F6-B417-680ED1DD61D0}" name="PivotTable6" cacheId="923" applyNumberFormats="0" applyBorderFormats="0" applyFontFormats="0" applyPatternFormats="0" applyAlignmentFormats="0" applyWidthHeightFormats="1" dataCaption="Values" tag="745e6a89-d525-4bc8-8ee0-463ed5930028" updatedVersion="8" minRefreshableVersion="3" subtotalHiddenItems="1" itemPrintTitles="1" createdVersion="5" indent="0" compact="0" compactData="0" multipleFieldFilters="0" chartFormat="37">
  <location ref="Q6:R38" firstHeaderRow="1" firstDataRow="1" firstDataCol="1"/>
  <pivotFields count="3">
    <pivotField axis="axisRow" compact="0" allDrilled="1" outline="0"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compact="0" allDrilled="1" outline="0" subtotalTop="0" showAll="0" dataSourceSort="1" defaultSubtotal="0" defaultAttributeDrillState="1"/>
    <pivotField dataField="1" compact="0" outline="0"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231">
      <pivotArea outline="0" collapsedLevelsAreSubtotals="1" fieldPosition="0"/>
    </format>
  </formats>
  <chartFormats count="2">
    <chartFormat chart="31" format="3"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Hierarchies count="33">
    <pivotHierarchy dragToData="1" includeNewItemsInFilter="1"/>
    <pivotHierarchy multipleItemSelectionAllowed="1" dragToData="1">
      <members count="1" level="1">
        <member name="[Calende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Patient"/>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69E66F-C891-4D60-98D0-6E57346FB0DB}" name="PivotTable5" cacheId="920" applyNumberFormats="0" applyBorderFormats="0" applyFontFormats="0" applyPatternFormats="0" applyAlignmentFormats="0" applyWidthHeightFormats="1" dataCaption="Values" tag="bb51bda6-6420-4ec0-893e-5639186808b1" updatedVersion="8" minRefreshableVersion="3" subtotalHiddenItems="1" itemPrintTitles="1" createdVersion="5" indent="0" compact="0" compactData="0" multipleFieldFilters="0" chartFormat="28">
  <location ref="N6:O38" firstHeaderRow="1" firstDataRow="1" firstDataCol="1"/>
  <pivotFields count="3">
    <pivotField axis="axisRow" compact="0" allDrilled="1" outline="0"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compact="0" allDrilled="1" outline="0" subtotalTop="0" showAll="0" dataSourceSort="1" defaultSubtotal="0" defaultAttributeDrillState="1"/>
    <pivotField dataField="1" compact="0" outline="0"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9" numFmtId="2"/>
  </dataFields>
  <formats count="1">
    <format dxfId="232">
      <pivotArea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3">
    <pivotHierarchy dragToData="1" includeNewItemsInFilter="1"/>
    <pivotHierarchy multipleItemSelectionAllowed="1" dragToData="1">
      <members count="1" level="1">
        <member name="[Calende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Patient"/>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587AD6-98C2-4080-9C4B-0E2385017D45}" name="PivotTable4" cacheId="908" applyNumberFormats="0" applyBorderFormats="0" applyFontFormats="0" applyPatternFormats="0" applyAlignmentFormats="0" applyWidthHeightFormats="1" dataCaption="Values" tag="29077809-5688-4e6e-9c54-6141550664a3" updatedVersion="8" minRefreshableVersion="3" subtotalHiddenItems="1" itemPrintTitles="1" createdVersion="5" indent="0" compact="0" compactData="0" multipleFieldFilters="0" chartFormat="13">
  <location ref="K6:L38"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compact="0" allDrilled="1" outline="0"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Total Patient" fld="0" subtotal="count" baseField="0" baseItem="0">
      <extLst>
        <ext xmlns:x15="http://schemas.microsoft.com/office/spreadsheetml/2010/11/main" uri="{FABC7310-3BB5-11E1-824E-6D434824019B}">
          <x15:dataField isCountDistinct="1"/>
        </ext>
      </extLst>
    </dataField>
  </dataFields>
  <chartFormats count="2">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3">
    <pivotHierarchy dragToData="1" includeNewItemsInFilter="1"/>
    <pivotHierarchy multipleItemSelectionAllowed="1" dragToData="1">
      <members count="1" level="1">
        <member name="[Calende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Patie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1AA9FF-4079-4F8D-8ADD-8D00041E1B8C}" name="PivotTable1" cacheId="911" applyNumberFormats="0" applyBorderFormats="0" applyFontFormats="0" applyPatternFormats="0" applyAlignmentFormats="0" applyWidthHeightFormats="1" dataCaption="Values" tag="d9dd127d-5d9e-42f0-bb27-3f1e08886814" updatedVersion="8" minRefreshableVersion="3" subtotalHiddenItems="1" itemPrintTitles="1" createdVersion="5" indent="0" outline="1" outlineData="1" multipleFieldFilters="0">
  <location ref="F6:F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atient"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e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Patie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7CCCBE9-FF55-4BD8-85DB-578331128887}" name="PivotTable3" cacheId="917" applyNumberFormats="0" applyBorderFormats="0" applyFontFormats="0" applyPatternFormats="0" applyAlignmentFormats="0" applyWidthHeightFormats="1" dataCaption="Values" tag="d3b43530-0875-44ee-8912-061778b6dc90" updatedVersion="8" minRefreshableVersion="3" subtotalHiddenItems="1" itemPrintTitles="1" createdVersion="5" indent="0" outline="1" outlineData="1" multipleFieldFilters="0">
  <location ref="F14:F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33">
      <pivotArea outline="0" collapsedLevelsAreSubtotals="1" fieldPosition="0"/>
    </format>
  </formats>
  <pivotHierarchies count="33">
    <pivotHierarchy dragToData="1"/>
    <pivotHierarchy multipleItemSelectionAllowed="1" dragToData="1">
      <members count="1" level="1">
        <member name="[Calende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6325A03-DA33-4898-AE09-55A89C0D66A1}" name="PivotTable2" cacheId="914" applyNumberFormats="0" applyBorderFormats="0" applyFontFormats="0" applyPatternFormats="0" applyAlignmentFormats="0" applyWidthHeightFormats="1" dataCaption="Values" tag="0655dc38-9473-49c5-9153-40a17c5685b0" updatedVersion="8" minRefreshableVersion="3" subtotalHiddenItems="1" itemPrintTitles="1" createdVersion="5" indent="0" outline="1" outlineData="1" multipleFieldFilters="0">
  <location ref="F11:F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34">
      <pivotArea outline="0" collapsedLevelsAreSubtotals="1" fieldPosition="0"/>
    </format>
  </formats>
  <pivotHierarchies count="33">
    <pivotHierarchy dragToData="1"/>
    <pivotHierarchy multipleItemSelectionAllowed="1" dragToData="1">
      <members count="1" level="1">
        <member name="[Calende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EDFB7A0-316A-44A2-BF8C-D6C0EE543129}" sourceName="[Calender 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3"/>
  </pivotTables>
  <data>
    <olap pivotCacheId="501956569">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50D412D-C3A4-4F0D-B9C7-6A6DA3519BBD}" sourceName="[Calender Table].[Date (Year)]">
  <pivotTables>
    <pivotTable tabId="1" name="PivotTable13"/>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01956569">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4092194B-8147-44C3-B555-EB2F12BEB95B}"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2AD8E1AA-DD0A-4735-B0E6-02B1FD0CA011}" cache="Slicer_Date__Month" caption="Date (Month)" showCaption="0" level="1" style="SlicerStyleDark6" rowHeight="180000"/>
  <slicer name="Date (Year) 1" xr10:uid="{5AF0F538-C5A5-4017-B770-F1C77BD7B019}" cache="Slicer_Date__Year" caption="Date (Year)" columnCount="2" showCaption="0" level="1" style="SlicerStyleDark6"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EDE93-786F-4458-AF67-2B46ED4C08BC}">
  <dimension ref="C5:R71"/>
  <sheetViews>
    <sheetView topLeftCell="A2" workbookViewId="0">
      <selection activeCell="F21" sqref="F20:H23"/>
    </sheetView>
  </sheetViews>
  <sheetFormatPr defaultRowHeight="14.4" x14ac:dyDescent="0.3"/>
  <cols>
    <col min="3" max="3" width="14.77734375" bestFit="1" customWidth="1"/>
    <col min="4" max="4" width="9.5546875" customWidth="1"/>
    <col min="5" max="5" width="25.77734375" customWidth="1"/>
    <col min="6" max="6" width="26" customWidth="1"/>
    <col min="7" max="7" width="12.44140625" customWidth="1"/>
    <col min="8" max="8" width="30.109375" customWidth="1"/>
    <col min="9" max="10" width="18.44140625" customWidth="1"/>
    <col min="11" max="11" width="28.88671875" customWidth="1"/>
    <col min="12" max="12" width="12.109375" customWidth="1"/>
    <col min="14" max="14" width="17.21875" customWidth="1"/>
    <col min="15" max="15" width="18.109375" customWidth="1"/>
    <col min="17" max="17" width="23.5546875" customWidth="1"/>
  </cols>
  <sheetData>
    <row r="5" spans="6:18" x14ac:dyDescent="0.3">
      <c r="K5" t="s">
        <v>43</v>
      </c>
      <c r="N5" t="s">
        <v>44</v>
      </c>
      <c r="Q5" t="s">
        <v>46</v>
      </c>
    </row>
    <row r="6" spans="6:18" x14ac:dyDescent="0.3">
      <c r="F6" t="s">
        <v>2</v>
      </c>
      <c r="K6" s="4" t="s">
        <v>8</v>
      </c>
      <c r="L6" t="s">
        <v>2</v>
      </c>
      <c r="N6" s="4" t="s">
        <v>8</v>
      </c>
      <c r="O6" t="s">
        <v>0</v>
      </c>
      <c r="Q6" s="4" t="s">
        <v>8</v>
      </c>
      <c r="R6" t="s">
        <v>1</v>
      </c>
    </row>
    <row r="7" spans="6:18" x14ac:dyDescent="0.3">
      <c r="F7" s="3">
        <v>513</v>
      </c>
      <c r="K7" t="s">
        <v>9</v>
      </c>
      <c r="L7" s="3">
        <v>19</v>
      </c>
      <c r="N7" t="s">
        <v>9</v>
      </c>
      <c r="O7" s="1">
        <v>37.789473684210527</v>
      </c>
      <c r="Q7" t="s">
        <v>9</v>
      </c>
      <c r="R7" s="1">
        <v>6.666666666666667</v>
      </c>
    </row>
    <row r="8" spans="6:18" x14ac:dyDescent="0.3">
      <c r="K8" t="s">
        <v>10</v>
      </c>
      <c r="L8" s="3">
        <v>14</v>
      </c>
      <c r="N8" t="s">
        <v>10</v>
      </c>
      <c r="O8" s="1">
        <v>38.214285714285715</v>
      </c>
      <c r="Q8" t="s">
        <v>10</v>
      </c>
      <c r="R8" s="1">
        <v>3.5</v>
      </c>
    </row>
    <row r="9" spans="6:18" x14ac:dyDescent="0.3">
      <c r="K9" t="s">
        <v>11</v>
      </c>
      <c r="L9" s="3">
        <v>13</v>
      </c>
      <c r="N9" t="s">
        <v>11</v>
      </c>
      <c r="O9" s="1">
        <v>40.92307692307692</v>
      </c>
      <c r="Q9" t="s">
        <v>11</v>
      </c>
      <c r="R9" s="1">
        <v>4.5</v>
      </c>
    </row>
    <row r="10" spans="6:18" x14ac:dyDescent="0.3">
      <c r="K10" t="s">
        <v>12</v>
      </c>
      <c r="L10" s="3">
        <v>22</v>
      </c>
      <c r="N10" t="s">
        <v>12</v>
      </c>
      <c r="O10" s="1">
        <v>34.5</v>
      </c>
      <c r="Q10" t="s">
        <v>12</v>
      </c>
      <c r="R10" s="1">
        <v>4.8</v>
      </c>
    </row>
    <row r="11" spans="6:18" x14ac:dyDescent="0.3">
      <c r="F11" t="s">
        <v>0</v>
      </c>
      <c r="K11" t="s">
        <v>13</v>
      </c>
      <c r="L11" s="3">
        <v>19</v>
      </c>
      <c r="N11" t="s">
        <v>13</v>
      </c>
      <c r="O11" s="1">
        <v>30.684210526315791</v>
      </c>
      <c r="Q11" t="s">
        <v>13</v>
      </c>
      <c r="R11" s="1">
        <v>7.75</v>
      </c>
    </row>
    <row r="12" spans="6:18" x14ac:dyDescent="0.3">
      <c r="F12" s="1">
        <v>36.323586744639378</v>
      </c>
      <c r="K12" t="s">
        <v>14</v>
      </c>
      <c r="L12" s="3">
        <v>15</v>
      </c>
      <c r="N12" t="s">
        <v>14</v>
      </c>
      <c r="O12" s="1">
        <v>37.666666666666664</v>
      </c>
      <c r="Q12" t="s">
        <v>14</v>
      </c>
      <c r="R12" s="1">
        <v>6.2</v>
      </c>
    </row>
    <row r="13" spans="6:18" x14ac:dyDescent="0.3">
      <c r="K13" t="s">
        <v>15</v>
      </c>
      <c r="L13" s="3">
        <v>12</v>
      </c>
      <c r="N13" t="s">
        <v>15</v>
      </c>
      <c r="O13" s="1">
        <v>36.083333333333336</v>
      </c>
      <c r="Q13" t="s">
        <v>15</v>
      </c>
      <c r="R13" s="1">
        <v>3.75</v>
      </c>
    </row>
    <row r="14" spans="6:18" x14ac:dyDescent="0.3">
      <c r="F14" t="s">
        <v>1</v>
      </c>
      <c r="K14" t="s">
        <v>16</v>
      </c>
      <c r="L14" s="3">
        <v>21</v>
      </c>
      <c r="N14" t="s">
        <v>16</v>
      </c>
      <c r="O14" s="1">
        <v>43.523809523809526</v>
      </c>
      <c r="Q14" t="s">
        <v>16</v>
      </c>
      <c r="R14" s="1">
        <v>6.5</v>
      </c>
    </row>
    <row r="15" spans="6:18" x14ac:dyDescent="0.3">
      <c r="F15" s="1">
        <v>4.9591836734693882</v>
      </c>
      <c r="K15" t="s">
        <v>17</v>
      </c>
      <c r="L15" s="3">
        <v>12</v>
      </c>
      <c r="N15" t="s">
        <v>17</v>
      </c>
      <c r="O15" s="1">
        <v>29.5</v>
      </c>
      <c r="Q15" t="s">
        <v>17</v>
      </c>
      <c r="R15" s="1">
        <v>3</v>
      </c>
    </row>
    <row r="16" spans="6:18" x14ac:dyDescent="0.3">
      <c r="K16" t="s">
        <v>18</v>
      </c>
      <c r="L16" s="3">
        <v>13</v>
      </c>
      <c r="N16" t="s">
        <v>18</v>
      </c>
      <c r="O16" s="1">
        <v>38.07692307692308</v>
      </c>
      <c r="Q16" t="s">
        <v>18</v>
      </c>
      <c r="R16" s="1">
        <v>4.5</v>
      </c>
    </row>
    <row r="17" spans="3:18" x14ac:dyDescent="0.3">
      <c r="K17" t="s">
        <v>19</v>
      </c>
      <c r="L17" s="3">
        <v>13</v>
      </c>
      <c r="N17" t="s">
        <v>19</v>
      </c>
      <c r="O17" s="1">
        <v>35.846153846153847</v>
      </c>
      <c r="Q17" t="s">
        <v>19</v>
      </c>
      <c r="R17" s="1">
        <v>6</v>
      </c>
    </row>
    <row r="18" spans="3:18" x14ac:dyDescent="0.3">
      <c r="K18" t="s">
        <v>20</v>
      </c>
      <c r="L18" s="3">
        <v>16</v>
      </c>
      <c r="N18" t="s">
        <v>20</v>
      </c>
      <c r="O18" s="1">
        <v>32.625</v>
      </c>
      <c r="Q18" t="s">
        <v>20</v>
      </c>
      <c r="R18" s="1">
        <v>5.2</v>
      </c>
    </row>
    <row r="19" spans="3:18" x14ac:dyDescent="0.3">
      <c r="K19" t="s">
        <v>21</v>
      </c>
      <c r="L19" s="3">
        <v>20</v>
      </c>
      <c r="N19" t="s">
        <v>21</v>
      </c>
      <c r="O19" s="1">
        <v>39.200000000000003</v>
      </c>
      <c r="Q19" t="s">
        <v>21</v>
      </c>
      <c r="R19" s="1">
        <v>4.4000000000000004</v>
      </c>
    </row>
    <row r="20" spans="3:18" x14ac:dyDescent="0.3">
      <c r="F20" s="13" t="s">
        <v>4</v>
      </c>
      <c r="G20" s="14" t="s">
        <v>48</v>
      </c>
      <c r="H20" s="14" t="s">
        <v>51</v>
      </c>
      <c r="K20" t="s">
        <v>22</v>
      </c>
      <c r="L20" s="3">
        <v>25</v>
      </c>
      <c r="N20" t="s">
        <v>22</v>
      </c>
      <c r="O20" s="1">
        <v>35.28</v>
      </c>
      <c r="Q20" t="s">
        <v>22</v>
      </c>
      <c r="R20" s="1">
        <v>3.4545454545454546</v>
      </c>
    </row>
    <row r="21" spans="3:18" x14ac:dyDescent="0.3">
      <c r="F21" s="14" t="s">
        <v>49</v>
      </c>
      <c r="G21" s="15">
        <v>269</v>
      </c>
      <c r="H21" s="16">
        <v>0.52436647173489281</v>
      </c>
      <c r="I21" s="8"/>
      <c r="J21" s="8"/>
      <c r="K21" t="s">
        <v>23</v>
      </c>
      <c r="L21" s="3">
        <v>20</v>
      </c>
      <c r="N21" t="s">
        <v>23</v>
      </c>
      <c r="O21" s="1">
        <v>32.549999999999997</v>
      </c>
      <c r="Q21" t="s">
        <v>23</v>
      </c>
      <c r="R21" s="1">
        <v>4.4000000000000004</v>
      </c>
    </row>
    <row r="22" spans="3:18" x14ac:dyDescent="0.3">
      <c r="F22" s="14" t="s">
        <v>50</v>
      </c>
      <c r="G22" s="15">
        <v>244</v>
      </c>
      <c r="H22" s="16">
        <v>0.47563352826510719</v>
      </c>
      <c r="I22" s="8"/>
      <c r="J22" s="8"/>
      <c r="K22" t="s">
        <v>24</v>
      </c>
      <c r="L22" s="3">
        <v>14</v>
      </c>
      <c r="N22" t="s">
        <v>24</v>
      </c>
      <c r="O22" s="1">
        <v>35.642857142857146</v>
      </c>
      <c r="Q22" t="s">
        <v>24</v>
      </c>
      <c r="R22" s="1">
        <v>5.833333333333333</v>
      </c>
    </row>
    <row r="23" spans="3:18" x14ac:dyDescent="0.3">
      <c r="F23" s="14" t="s">
        <v>5</v>
      </c>
      <c r="G23" s="15">
        <v>513</v>
      </c>
      <c r="H23" s="16">
        <v>1</v>
      </c>
      <c r="I23" s="8"/>
      <c r="J23" s="8"/>
      <c r="K23" t="s">
        <v>25</v>
      </c>
      <c r="L23" s="3">
        <v>17</v>
      </c>
      <c r="N23" t="s">
        <v>25</v>
      </c>
      <c r="O23" s="1">
        <v>38.764705882352942</v>
      </c>
      <c r="Q23" t="s">
        <v>25</v>
      </c>
      <c r="R23" s="1">
        <v>4.4444444444444446</v>
      </c>
    </row>
    <row r="24" spans="3:18" x14ac:dyDescent="0.3">
      <c r="K24" t="s">
        <v>26</v>
      </c>
      <c r="L24" s="3">
        <v>20</v>
      </c>
      <c r="N24" t="s">
        <v>26</v>
      </c>
      <c r="O24" s="1">
        <v>39.9</v>
      </c>
      <c r="Q24" t="s">
        <v>26</v>
      </c>
      <c r="R24" s="1">
        <v>5.333333333333333</v>
      </c>
    </row>
    <row r="25" spans="3:18" x14ac:dyDescent="0.3">
      <c r="K25" t="s">
        <v>27</v>
      </c>
      <c r="L25" s="3">
        <v>10</v>
      </c>
      <c r="N25" t="s">
        <v>27</v>
      </c>
      <c r="O25" s="1">
        <v>41.6</v>
      </c>
      <c r="Q25" t="s">
        <v>27</v>
      </c>
      <c r="R25" s="1">
        <v>5.333333333333333</v>
      </c>
    </row>
    <row r="26" spans="3:18" x14ac:dyDescent="0.3">
      <c r="C26" s="11" t="s">
        <v>52</v>
      </c>
      <c r="D26" s="11" t="s">
        <v>54</v>
      </c>
      <c r="E26" s="11" t="s">
        <v>53</v>
      </c>
      <c r="F26" s="11" t="s">
        <v>55</v>
      </c>
      <c r="K26" t="s">
        <v>28</v>
      </c>
      <c r="L26" s="3">
        <v>17</v>
      </c>
      <c r="N26" t="s">
        <v>28</v>
      </c>
      <c r="O26" s="1">
        <v>39.470588235294116</v>
      </c>
      <c r="Q26" t="s">
        <v>28</v>
      </c>
      <c r="R26" s="1">
        <v>5.5714285714285712</v>
      </c>
    </row>
    <row r="27" spans="3:18" x14ac:dyDescent="0.3">
      <c r="C27" s="9" t="str">
        <f>F22</f>
        <v>Not Admitted</v>
      </c>
      <c r="D27" s="9">
        <f>G22</f>
        <v>244</v>
      </c>
      <c r="E27" s="10">
        <f>H22</f>
        <v>0.47563352826510719</v>
      </c>
      <c r="K27" t="s">
        <v>29</v>
      </c>
      <c r="L27" s="3">
        <v>15</v>
      </c>
      <c r="N27" t="s">
        <v>29</v>
      </c>
      <c r="O27" s="1">
        <v>27.733333333333334</v>
      </c>
      <c r="Q27" t="s">
        <v>29</v>
      </c>
      <c r="R27" s="1">
        <v>5</v>
      </c>
    </row>
    <row r="28" spans="3:18" x14ac:dyDescent="0.3">
      <c r="C28" s="9" t="str">
        <f>F21</f>
        <v>Admitted</v>
      </c>
      <c r="D28" s="9">
        <f>G21</f>
        <v>269</v>
      </c>
      <c r="E28" s="10">
        <f>H21</f>
        <v>0.52436647173489281</v>
      </c>
      <c r="K28" t="s">
        <v>30</v>
      </c>
      <c r="L28" s="3">
        <v>16</v>
      </c>
      <c r="N28" t="s">
        <v>30</v>
      </c>
      <c r="O28" s="1">
        <v>36.875</v>
      </c>
      <c r="Q28" t="s">
        <v>30</v>
      </c>
      <c r="R28" s="1">
        <v>6.4</v>
      </c>
    </row>
    <row r="29" spans="3:18" x14ac:dyDescent="0.3">
      <c r="K29" t="s">
        <v>31</v>
      </c>
      <c r="L29" s="3">
        <v>18</v>
      </c>
      <c r="N29" t="s">
        <v>31</v>
      </c>
      <c r="O29" s="1">
        <v>40.333333333333336</v>
      </c>
      <c r="Q29" t="s">
        <v>31</v>
      </c>
      <c r="R29" s="1">
        <v>5.333333333333333</v>
      </c>
    </row>
    <row r="30" spans="3:18" x14ac:dyDescent="0.3">
      <c r="K30" t="s">
        <v>32</v>
      </c>
      <c r="L30" s="3">
        <v>16</v>
      </c>
      <c r="N30" t="s">
        <v>32</v>
      </c>
      <c r="O30" s="1">
        <v>36.5</v>
      </c>
      <c r="Q30" t="s">
        <v>32</v>
      </c>
      <c r="R30" s="1">
        <v>3.75</v>
      </c>
    </row>
    <row r="31" spans="3:18" x14ac:dyDescent="0.3">
      <c r="K31" t="s">
        <v>33</v>
      </c>
      <c r="L31" s="3">
        <v>15</v>
      </c>
      <c r="N31" t="s">
        <v>33</v>
      </c>
      <c r="O31" s="1">
        <v>32.866666666666667</v>
      </c>
      <c r="Q31" t="s">
        <v>33</v>
      </c>
      <c r="R31" s="1">
        <v>6.333333333333333</v>
      </c>
    </row>
    <row r="32" spans="3:18" x14ac:dyDescent="0.3">
      <c r="K32" t="s">
        <v>34</v>
      </c>
      <c r="L32" s="3">
        <v>14</v>
      </c>
      <c r="N32" t="s">
        <v>34</v>
      </c>
      <c r="O32" s="1">
        <v>36.642857142857146</v>
      </c>
      <c r="Q32" t="s">
        <v>34</v>
      </c>
      <c r="R32" s="1">
        <v>10</v>
      </c>
    </row>
    <row r="33" spans="4:18" x14ac:dyDescent="0.3">
      <c r="D33" s="4" t="s">
        <v>4</v>
      </c>
      <c r="E33" t="s">
        <v>64</v>
      </c>
      <c r="K33" t="s">
        <v>35</v>
      </c>
      <c r="L33" s="3">
        <v>16</v>
      </c>
      <c r="N33" t="s">
        <v>35</v>
      </c>
      <c r="O33" s="1">
        <v>36.5625</v>
      </c>
      <c r="Q33" t="s">
        <v>35</v>
      </c>
      <c r="R33" s="1">
        <v>5</v>
      </c>
    </row>
    <row r="34" spans="4:18" x14ac:dyDescent="0.3">
      <c r="D34" s="5" t="s">
        <v>56</v>
      </c>
      <c r="E34" s="12">
        <v>76</v>
      </c>
      <c r="K34" t="s">
        <v>36</v>
      </c>
      <c r="L34" s="3">
        <v>20</v>
      </c>
      <c r="N34" t="s">
        <v>36</v>
      </c>
      <c r="O34" s="1">
        <v>32.15</v>
      </c>
      <c r="Q34" t="s">
        <v>36</v>
      </c>
      <c r="R34" s="1">
        <v>5.333333333333333</v>
      </c>
    </row>
    <row r="35" spans="4:18" x14ac:dyDescent="0.3">
      <c r="D35" s="5" t="s">
        <v>57</v>
      </c>
      <c r="E35" s="12">
        <v>69</v>
      </c>
      <c r="K35" t="s">
        <v>37</v>
      </c>
      <c r="L35" s="3">
        <v>19</v>
      </c>
      <c r="N35" t="s">
        <v>37</v>
      </c>
      <c r="O35" s="1">
        <v>38.368421052631582</v>
      </c>
      <c r="Q35" t="s">
        <v>37</v>
      </c>
      <c r="R35" s="1">
        <v>4.8</v>
      </c>
    </row>
    <row r="36" spans="4:18" x14ac:dyDescent="0.3">
      <c r="D36" s="5" t="s">
        <v>58</v>
      </c>
      <c r="E36" s="12">
        <v>64</v>
      </c>
      <c r="K36" t="s">
        <v>38</v>
      </c>
      <c r="L36" s="3">
        <v>14</v>
      </c>
      <c r="N36" t="s">
        <v>38</v>
      </c>
      <c r="O36" s="1">
        <v>33.071428571428569</v>
      </c>
      <c r="Q36" t="s">
        <v>38</v>
      </c>
      <c r="R36" s="1">
        <v>5</v>
      </c>
    </row>
    <row r="37" spans="4:18" x14ac:dyDescent="0.3">
      <c r="D37" s="5" t="s">
        <v>59</v>
      </c>
      <c r="E37" s="12">
        <v>59</v>
      </c>
      <c r="K37" t="s">
        <v>39</v>
      </c>
      <c r="L37" s="3">
        <v>18</v>
      </c>
      <c r="N37" t="s">
        <v>39</v>
      </c>
      <c r="O37" s="1">
        <v>36.444444444444443</v>
      </c>
      <c r="Q37" t="s">
        <v>39</v>
      </c>
      <c r="R37" s="1">
        <v>1.4</v>
      </c>
    </row>
    <row r="38" spans="4:18" x14ac:dyDescent="0.3">
      <c r="D38" s="5" t="s">
        <v>60</v>
      </c>
      <c r="E38" s="12">
        <v>58</v>
      </c>
      <c r="K38" t="s">
        <v>5</v>
      </c>
      <c r="L38" s="3">
        <v>513</v>
      </c>
      <c r="N38" t="s">
        <v>5</v>
      </c>
      <c r="O38" s="1">
        <v>36.323586744639378</v>
      </c>
      <c r="Q38" t="s">
        <v>5</v>
      </c>
      <c r="R38" s="1">
        <v>4.9591836734693882</v>
      </c>
    </row>
    <row r="39" spans="4:18" x14ac:dyDescent="0.3">
      <c r="D39" s="5" t="s">
        <v>61</v>
      </c>
      <c r="E39" s="12">
        <v>66</v>
      </c>
    </row>
    <row r="40" spans="4:18" x14ac:dyDescent="0.3">
      <c r="D40" s="5" t="s">
        <v>62</v>
      </c>
      <c r="E40" s="12">
        <v>67</v>
      </c>
    </row>
    <row r="41" spans="4:18" x14ac:dyDescent="0.3">
      <c r="D41" s="5" t="s">
        <v>63</v>
      </c>
      <c r="E41" s="12">
        <v>54</v>
      </c>
    </row>
    <row r="42" spans="4:18" x14ac:dyDescent="0.3">
      <c r="D42" s="5" t="s">
        <v>5</v>
      </c>
      <c r="E42" s="12">
        <v>513</v>
      </c>
    </row>
    <row r="46" spans="4:18" x14ac:dyDescent="0.3">
      <c r="G46" s="4" t="s">
        <v>4</v>
      </c>
    </row>
    <row r="47" spans="4:18" x14ac:dyDescent="0.3">
      <c r="D47" s="4" t="s">
        <v>4</v>
      </c>
      <c r="E47" t="s">
        <v>67</v>
      </c>
      <c r="G47" s="5" t="s">
        <v>6</v>
      </c>
    </row>
    <row r="48" spans="4:18" x14ac:dyDescent="0.3">
      <c r="D48" s="5" t="s">
        <v>65</v>
      </c>
      <c r="E48" s="12">
        <v>316</v>
      </c>
      <c r="G48" s="5" t="s">
        <v>7</v>
      </c>
    </row>
    <row r="49" spans="4:7" x14ac:dyDescent="0.3">
      <c r="D49" s="5" t="s">
        <v>66</v>
      </c>
      <c r="E49" s="12">
        <v>197</v>
      </c>
      <c r="G49" s="5" t="s">
        <v>5</v>
      </c>
    </row>
    <row r="50" spans="4:7" x14ac:dyDescent="0.3">
      <c r="D50" s="5" t="s">
        <v>5</v>
      </c>
      <c r="E50" s="12">
        <v>513</v>
      </c>
    </row>
    <row r="56" spans="4:7" x14ac:dyDescent="0.3">
      <c r="D56" s="4" t="s">
        <v>4</v>
      </c>
      <c r="E56" t="s">
        <v>70</v>
      </c>
    </row>
    <row r="57" spans="4:7" x14ac:dyDescent="0.3">
      <c r="D57" s="5" t="s">
        <v>68</v>
      </c>
      <c r="E57" s="12">
        <v>241</v>
      </c>
    </row>
    <row r="58" spans="4:7" x14ac:dyDescent="0.3">
      <c r="D58" s="5" t="s">
        <v>69</v>
      </c>
      <c r="E58" s="12">
        <v>272</v>
      </c>
    </row>
    <row r="59" spans="4:7" x14ac:dyDescent="0.3">
      <c r="D59" s="5" t="s">
        <v>5</v>
      </c>
      <c r="E59" s="12">
        <v>513</v>
      </c>
    </row>
    <row r="62" spans="4:7" x14ac:dyDescent="0.3">
      <c r="D62" s="4" t="s">
        <v>4</v>
      </c>
      <c r="E62" t="s">
        <v>79</v>
      </c>
    </row>
    <row r="63" spans="4:7" x14ac:dyDescent="0.3">
      <c r="D63" s="5" t="s">
        <v>72</v>
      </c>
      <c r="E63" s="12">
        <v>4</v>
      </c>
    </row>
    <row r="64" spans="4:7" x14ac:dyDescent="0.3">
      <c r="D64" s="5" t="s">
        <v>78</v>
      </c>
      <c r="E64" s="12">
        <v>5</v>
      </c>
    </row>
    <row r="65" spans="4:5" x14ac:dyDescent="0.3">
      <c r="D65" s="5" t="s">
        <v>74</v>
      </c>
      <c r="E65" s="12">
        <v>9</v>
      </c>
    </row>
    <row r="66" spans="4:5" x14ac:dyDescent="0.3">
      <c r="D66" s="5" t="s">
        <v>77</v>
      </c>
      <c r="E66" s="12">
        <v>14</v>
      </c>
    </row>
    <row r="67" spans="4:5" x14ac:dyDescent="0.3">
      <c r="D67" s="5" t="s">
        <v>71</v>
      </c>
      <c r="E67" s="12">
        <v>14</v>
      </c>
    </row>
    <row r="68" spans="4:5" x14ac:dyDescent="0.3">
      <c r="D68" s="5" t="s">
        <v>76</v>
      </c>
      <c r="E68" s="12">
        <v>65</v>
      </c>
    </row>
    <row r="69" spans="4:5" x14ac:dyDescent="0.3">
      <c r="D69" s="5" t="s">
        <v>73</v>
      </c>
      <c r="E69" s="12">
        <v>103</v>
      </c>
    </row>
    <row r="70" spans="4:5" x14ac:dyDescent="0.3">
      <c r="D70" s="5" t="s">
        <v>75</v>
      </c>
      <c r="E70" s="12">
        <v>299</v>
      </c>
    </row>
    <row r="71" spans="4:5" x14ac:dyDescent="0.3">
      <c r="D71" s="5" t="s">
        <v>5</v>
      </c>
      <c r="E71" s="12">
        <v>513</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E4200-0F87-4988-B9E4-38E1DDA16EE0}">
  <dimension ref="A1:W25"/>
  <sheetViews>
    <sheetView tabSelected="1" zoomScale="140" zoomScaleNormal="140" workbookViewId="0">
      <selection activeCell="Q6" sqref="Q6"/>
    </sheetView>
  </sheetViews>
  <sheetFormatPr defaultRowHeight="14.4" x14ac:dyDescent="0.3"/>
  <sheetData>
    <row r="1" spans="1:23" x14ac:dyDescent="0.3">
      <c r="A1" s="2"/>
      <c r="B1" s="2"/>
      <c r="C1" s="2"/>
      <c r="D1" s="2"/>
      <c r="E1" s="2"/>
      <c r="F1" s="2"/>
      <c r="G1" s="2"/>
      <c r="H1" s="2"/>
      <c r="I1" s="2"/>
      <c r="J1" s="2"/>
      <c r="K1" s="2"/>
      <c r="L1" s="2"/>
      <c r="M1" s="2"/>
      <c r="N1" s="2"/>
      <c r="O1" s="2"/>
      <c r="P1" s="2"/>
      <c r="Q1" s="2"/>
      <c r="R1" s="2"/>
      <c r="S1" s="2"/>
      <c r="T1" s="2"/>
      <c r="U1" s="2"/>
      <c r="V1" s="2"/>
      <c r="W1" s="2"/>
    </row>
    <row r="2" spans="1:23" x14ac:dyDescent="0.3">
      <c r="A2" s="2"/>
      <c r="B2" s="2"/>
      <c r="C2" s="2"/>
      <c r="D2" s="2"/>
      <c r="E2" s="2"/>
      <c r="F2" s="2"/>
      <c r="G2" s="2"/>
      <c r="H2" s="2"/>
      <c r="I2" s="2"/>
      <c r="J2" s="2"/>
      <c r="K2" s="2"/>
      <c r="L2" s="2"/>
      <c r="M2" s="2"/>
      <c r="N2" s="2"/>
      <c r="O2" s="2"/>
      <c r="P2" s="2"/>
      <c r="Q2" s="2"/>
      <c r="R2" s="2"/>
      <c r="S2" s="2"/>
      <c r="T2" s="2"/>
      <c r="U2" s="2"/>
      <c r="V2" s="2"/>
      <c r="W2" s="2"/>
    </row>
    <row r="3" spans="1:23" x14ac:dyDescent="0.3">
      <c r="A3" s="2"/>
      <c r="B3" s="2"/>
      <c r="C3" s="2"/>
      <c r="D3" s="2"/>
      <c r="E3" s="2"/>
      <c r="F3" s="2"/>
      <c r="G3" s="2"/>
      <c r="H3" s="2"/>
      <c r="I3" s="2"/>
      <c r="J3" s="2"/>
      <c r="K3" s="2"/>
      <c r="L3" s="2"/>
      <c r="M3" s="2"/>
      <c r="N3" s="2"/>
      <c r="O3" s="2"/>
      <c r="P3" s="2"/>
      <c r="Q3" s="2"/>
      <c r="R3" s="2"/>
      <c r="S3" s="2"/>
      <c r="T3" s="2"/>
      <c r="U3" s="2"/>
      <c r="V3" s="2"/>
      <c r="W3" s="2"/>
    </row>
    <row r="4" spans="1:23" x14ac:dyDescent="0.3">
      <c r="A4" s="2"/>
      <c r="B4" s="2"/>
      <c r="C4" s="2"/>
      <c r="D4" s="2"/>
      <c r="E4" s="2"/>
      <c r="F4" s="2"/>
      <c r="G4" s="2"/>
      <c r="H4" s="2"/>
      <c r="I4" s="2"/>
      <c r="J4" s="2"/>
      <c r="K4" s="2"/>
      <c r="L4" s="2"/>
      <c r="M4" s="2"/>
      <c r="N4" s="2"/>
      <c r="O4" s="2"/>
      <c r="P4" s="2"/>
      <c r="Q4" s="2"/>
      <c r="R4" s="2"/>
      <c r="S4" s="2"/>
      <c r="T4" s="2"/>
      <c r="U4" s="2"/>
      <c r="V4" s="2"/>
      <c r="W4" s="2"/>
    </row>
    <row r="5" spans="1:23" x14ac:dyDescent="0.3">
      <c r="A5" s="2"/>
      <c r="B5" s="2"/>
      <c r="C5" s="2"/>
      <c r="D5" s="2"/>
      <c r="E5" s="2"/>
      <c r="F5" s="2"/>
      <c r="G5" s="2"/>
      <c r="H5" s="2"/>
      <c r="I5" s="2"/>
      <c r="J5" s="2"/>
      <c r="K5" s="2"/>
      <c r="L5" s="2"/>
      <c r="M5" s="2"/>
      <c r="N5" s="2"/>
      <c r="O5" s="2"/>
      <c r="P5" s="2"/>
      <c r="Q5" s="2"/>
      <c r="R5" s="2"/>
      <c r="S5" s="2"/>
      <c r="T5" s="2"/>
      <c r="U5" s="2"/>
      <c r="V5" s="2"/>
      <c r="W5" s="2"/>
    </row>
    <row r="6" spans="1:23" x14ac:dyDescent="0.3">
      <c r="A6" s="2"/>
      <c r="B6" s="2"/>
      <c r="C6" s="2"/>
      <c r="D6" s="2"/>
      <c r="E6" s="2"/>
      <c r="F6" s="2"/>
      <c r="G6" s="2"/>
      <c r="H6" s="2"/>
      <c r="I6" s="2"/>
      <c r="J6" s="2"/>
      <c r="K6" s="2"/>
      <c r="L6" s="2"/>
      <c r="M6" s="2"/>
      <c r="N6" s="2"/>
      <c r="O6" s="2"/>
      <c r="P6" s="2"/>
      <c r="Q6" s="2"/>
      <c r="R6" s="2"/>
      <c r="S6" s="2"/>
      <c r="T6" s="2"/>
      <c r="U6" s="2"/>
      <c r="V6" s="2"/>
      <c r="W6" s="2"/>
    </row>
    <row r="7" spans="1:23" x14ac:dyDescent="0.3">
      <c r="A7" s="2"/>
      <c r="B7" s="2"/>
      <c r="C7" s="2"/>
      <c r="D7" s="2"/>
      <c r="E7" s="2"/>
      <c r="F7" s="2"/>
      <c r="G7" s="2"/>
      <c r="H7" s="2"/>
      <c r="I7" s="2"/>
      <c r="J7" s="2"/>
      <c r="K7" s="2"/>
      <c r="L7" s="2"/>
      <c r="M7" s="2"/>
      <c r="N7" s="2"/>
      <c r="O7" s="2"/>
      <c r="P7" s="2"/>
      <c r="Q7" s="2"/>
      <c r="R7" s="2"/>
      <c r="S7" s="2"/>
      <c r="T7" s="2"/>
      <c r="U7" s="2"/>
      <c r="V7" s="2"/>
      <c r="W7" s="2"/>
    </row>
    <row r="8" spans="1:23" x14ac:dyDescent="0.3">
      <c r="A8" s="2"/>
      <c r="B8" s="2"/>
      <c r="C8" s="2"/>
      <c r="D8" s="2"/>
      <c r="E8" s="2"/>
      <c r="F8" s="2"/>
      <c r="G8" s="2"/>
      <c r="H8" s="2"/>
      <c r="I8" s="2"/>
      <c r="J8" s="2"/>
      <c r="K8" s="2"/>
      <c r="L8" s="2"/>
      <c r="M8" s="2"/>
      <c r="N8" s="2"/>
      <c r="O8" s="2"/>
      <c r="P8" s="2"/>
      <c r="Q8" s="2"/>
      <c r="R8" s="2"/>
      <c r="S8" s="2"/>
      <c r="T8" s="2"/>
      <c r="U8" s="2"/>
      <c r="V8" s="2"/>
      <c r="W8" s="2"/>
    </row>
    <row r="9" spans="1:23" x14ac:dyDescent="0.3">
      <c r="A9" s="2"/>
      <c r="B9" s="2"/>
      <c r="C9" s="2"/>
      <c r="D9" s="2"/>
      <c r="E9" s="2"/>
      <c r="F9" s="2"/>
      <c r="G9" s="2"/>
      <c r="H9" s="2"/>
      <c r="I9" s="2"/>
      <c r="J9" s="2"/>
      <c r="K9" s="2"/>
      <c r="L9" s="2"/>
      <c r="M9" s="2"/>
      <c r="N9" s="2"/>
      <c r="O9" s="2"/>
      <c r="P9" s="2" t="s">
        <v>42</v>
      </c>
      <c r="Q9" s="2"/>
      <c r="R9" s="2"/>
      <c r="S9" s="2"/>
      <c r="T9" s="2"/>
      <c r="U9" s="2"/>
      <c r="V9" s="2"/>
      <c r="W9" s="2"/>
    </row>
    <row r="10" spans="1:23" x14ac:dyDescent="0.3">
      <c r="A10" s="2"/>
      <c r="B10" s="2"/>
      <c r="C10" s="2"/>
      <c r="D10" s="2"/>
      <c r="E10" s="2"/>
      <c r="F10" s="2"/>
      <c r="G10" s="2"/>
      <c r="H10" s="2"/>
      <c r="I10" s="2"/>
      <c r="J10" s="2"/>
      <c r="K10" s="2"/>
      <c r="L10" s="2"/>
      <c r="M10" s="2"/>
      <c r="N10" s="2"/>
      <c r="O10" s="2"/>
      <c r="P10" s="2" t="s">
        <v>3</v>
      </c>
      <c r="Q10" s="2"/>
      <c r="R10" s="2"/>
      <c r="S10" s="2"/>
      <c r="T10" s="2"/>
      <c r="U10" s="2"/>
      <c r="V10" s="2"/>
      <c r="W10" s="2"/>
    </row>
    <row r="11" spans="1:23" x14ac:dyDescent="0.3">
      <c r="A11" s="2"/>
      <c r="B11" s="2"/>
      <c r="C11" s="2"/>
      <c r="D11" s="2"/>
      <c r="E11" s="2"/>
      <c r="F11" s="2"/>
      <c r="G11" s="2"/>
      <c r="H11" s="2"/>
      <c r="I11" s="2"/>
      <c r="J11" s="2"/>
      <c r="K11" s="2"/>
      <c r="L11" s="2"/>
      <c r="M11" s="2"/>
      <c r="N11" s="2"/>
      <c r="O11" s="2"/>
      <c r="P11" s="2"/>
      <c r="Q11" s="2"/>
      <c r="R11" s="2"/>
      <c r="S11" s="2"/>
      <c r="T11" s="2"/>
      <c r="U11" s="2"/>
      <c r="V11" s="2"/>
      <c r="W11" s="2"/>
    </row>
    <row r="12" spans="1:23" x14ac:dyDescent="0.3">
      <c r="A12" s="2"/>
      <c r="B12" s="2"/>
      <c r="C12" s="2"/>
      <c r="D12" s="2"/>
      <c r="E12" s="2"/>
      <c r="F12" s="2"/>
      <c r="G12" s="2"/>
      <c r="H12" s="2"/>
      <c r="I12" s="2"/>
      <c r="J12" s="2"/>
      <c r="K12" s="2"/>
      <c r="L12" s="2"/>
      <c r="M12" s="2"/>
      <c r="N12" s="2"/>
      <c r="O12" s="2"/>
      <c r="P12" s="2"/>
      <c r="Q12" s="2"/>
      <c r="R12" s="2"/>
      <c r="S12" s="2"/>
      <c r="T12" s="2"/>
      <c r="U12" s="2"/>
      <c r="V12" s="2"/>
      <c r="W12" s="2"/>
    </row>
    <row r="13" spans="1:23" x14ac:dyDescent="0.3">
      <c r="A13" s="2"/>
      <c r="B13" s="2"/>
      <c r="C13" s="2"/>
      <c r="D13" s="2"/>
      <c r="E13" s="2"/>
      <c r="F13" s="2"/>
      <c r="G13" s="2"/>
      <c r="H13" s="2"/>
      <c r="I13" s="2"/>
      <c r="J13" s="2"/>
      <c r="K13" s="2"/>
      <c r="L13" s="2"/>
      <c r="M13" s="2"/>
      <c r="N13" s="2"/>
      <c r="O13" s="2"/>
      <c r="P13" s="2"/>
      <c r="Q13" s="2"/>
      <c r="R13" s="2"/>
      <c r="S13" s="2"/>
      <c r="T13" s="2"/>
      <c r="U13" s="2"/>
      <c r="V13" s="2"/>
      <c r="W13" s="2"/>
    </row>
    <row r="14" spans="1:23" x14ac:dyDescent="0.3">
      <c r="A14" s="2"/>
      <c r="B14" s="2"/>
      <c r="C14" s="2"/>
      <c r="D14" s="2"/>
      <c r="E14" s="2"/>
      <c r="F14" s="2"/>
      <c r="G14" s="2"/>
      <c r="H14" s="2"/>
      <c r="I14" s="2"/>
      <c r="J14" s="2"/>
      <c r="K14" s="2"/>
      <c r="L14" s="2"/>
      <c r="M14" s="2"/>
      <c r="N14" s="2"/>
      <c r="O14" s="2"/>
      <c r="P14" s="2"/>
      <c r="Q14" s="2"/>
      <c r="R14" s="2"/>
      <c r="S14" s="2"/>
      <c r="T14" s="2"/>
      <c r="U14" s="2"/>
      <c r="V14" s="2"/>
      <c r="W14" s="2"/>
    </row>
    <row r="15" spans="1:23" x14ac:dyDescent="0.3">
      <c r="A15" s="2"/>
      <c r="B15" s="2"/>
      <c r="C15" s="2"/>
      <c r="D15" s="2"/>
      <c r="E15" s="2"/>
      <c r="F15" s="2"/>
      <c r="G15" s="2"/>
      <c r="H15" s="2"/>
      <c r="I15" s="2"/>
      <c r="J15" s="2"/>
      <c r="K15" s="2"/>
      <c r="L15" s="2"/>
      <c r="M15" s="2"/>
      <c r="N15" s="2"/>
      <c r="O15" s="2"/>
      <c r="P15" s="2"/>
      <c r="Q15" s="2"/>
      <c r="R15" s="2"/>
      <c r="S15" s="2"/>
      <c r="T15" s="2"/>
      <c r="U15" s="2"/>
      <c r="V15" s="2"/>
      <c r="W15" s="2"/>
    </row>
    <row r="16" spans="1:23" x14ac:dyDescent="0.3">
      <c r="A16" s="2"/>
      <c r="B16" s="2"/>
      <c r="C16" s="2"/>
      <c r="D16" s="2"/>
      <c r="E16" s="2"/>
      <c r="F16" s="2"/>
      <c r="G16" s="2"/>
      <c r="H16" s="2"/>
      <c r="I16" s="2"/>
      <c r="J16" s="2"/>
      <c r="K16" s="2"/>
      <c r="L16" s="2"/>
      <c r="M16" s="2"/>
      <c r="N16" s="2"/>
      <c r="O16" s="2"/>
      <c r="P16" s="2"/>
      <c r="Q16" s="2"/>
      <c r="R16" s="2"/>
      <c r="S16" s="2"/>
      <c r="T16" s="2"/>
      <c r="U16" s="2"/>
      <c r="V16" s="2"/>
      <c r="W16" s="2"/>
    </row>
    <row r="17" spans="1:23" x14ac:dyDescent="0.3">
      <c r="A17" s="2"/>
      <c r="B17" s="2"/>
      <c r="C17" s="2"/>
      <c r="D17" s="2"/>
      <c r="E17" s="2"/>
      <c r="F17" s="2"/>
      <c r="G17" s="2"/>
      <c r="H17" s="2"/>
      <c r="I17" s="2"/>
      <c r="J17" s="2"/>
      <c r="K17" s="2"/>
      <c r="L17" s="2"/>
      <c r="M17" s="2"/>
      <c r="N17" s="2"/>
      <c r="O17" s="2"/>
      <c r="P17" s="2"/>
      <c r="Q17" s="2"/>
      <c r="R17" s="2"/>
      <c r="S17" s="2"/>
      <c r="T17" s="2"/>
      <c r="U17" s="2"/>
      <c r="V17" s="2"/>
      <c r="W17" s="2"/>
    </row>
    <row r="18" spans="1:23" x14ac:dyDescent="0.3">
      <c r="A18" s="2"/>
      <c r="B18" s="2"/>
      <c r="C18" s="2"/>
      <c r="D18" s="2"/>
      <c r="E18" s="2"/>
      <c r="F18" s="2"/>
      <c r="G18" s="2"/>
      <c r="H18" s="2"/>
      <c r="I18" s="2"/>
      <c r="J18" s="2"/>
      <c r="K18" s="2"/>
      <c r="L18" s="2"/>
      <c r="M18" s="2"/>
      <c r="N18" s="2"/>
      <c r="O18" s="2"/>
      <c r="P18" s="2"/>
      <c r="Q18" s="2"/>
      <c r="R18" s="2"/>
      <c r="S18" s="2"/>
      <c r="T18" s="2"/>
      <c r="U18" s="2"/>
      <c r="V18" s="2"/>
      <c r="W18" s="2"/>
    </row>
    <row r="19" spans="1:23" x14ac:dyDescent="0.3">
      <c r="A19" s="2"/>
      <c r="B19" s="2"/>
      <c r="C19" s="2"/>
      <c r="D19" s="2"/>
      <c r="E19" s="2"/>
      <c r="F19" s="2"/>
      <c r="G19" s="2"/>
      <c r="H19" s="2"/>
      <c r="I19" s="2"/>
      <c r="J19" s="2"/>
      <c r="K19" s="2"/>
      <c r="L19" s="2"/>
      <c r="M19" s="2"/>
      <c r="N19" s="2"/>
      <c r="O19" s="2"/>
      <c r="P19" s="2"/>
      <c r="Q19" s="2"/>
      <c r="R19" s="2"/>
      <c r="S19" s="2"/>
      <c r="T19" s="2"/>
      <c r="U19" s="2"/>
      <c r="V19" s="2"/>
      <c r="W19" s="2"/>
    </row>
    <row r="20" spans="1:23" x14ac:dyDescent="0.3">
      <c r="A20" s="2"/>
      <c r="B20" s="2"/>
      <c r="C20" s="2"/>
      <c r="D20" s="2"/>
      <c r="E20" s="2"/>
      <c r="F20" s="2"/>
      <c r="G20" s="2"/>
      <c r="H20" s="2"/>
      <c r="I20" s="2"/>
      <c r="J20" s="2"/>
      <c r="K20" s="2"/>
      <c r="L20" s="2"/>
      <c r="M20" s="2"/>
      <c r="N20" s="2"/>
      <c r="O20" s="2"/>
      <c r="P20" s="2"/>
      <c r="Q20" s="2"/>
      <c r="R20" s="2"/>
      <c r="S20" s="2"/>
      <c r="T20" s="2"/>
      <c r="U20" s="2"/>
      <c r="V20" s="2"/>
      <c r="W20" s="2"/>
    </row>
    <row r="21" spans="1:23" x14ac:dyDescent="0.3">
      <c r="A21" s="2"/>
      <c r="B21" s="2"/>
      <c r="C21" s="2"/>
      <c r="D21" s="2"/>
      <c r="E21" s="2"/>
      <c r="F21" s="2"/>
      <c r="G21" s="2"/>
      <c r="H21" s="2"/>
      <c r="I21" s="2"/>
      <c r="J21" s="2"/>
      <c r="K21" s="2"/>
      <c r="L21" s="2"/>
      <c r="M21" s="2"/>
      <c r="N21" s="2"/>
      <c r="O21" s="2"/>
      <c r="P21" s="2"/>
      <c r="Q21" s="2"/>
      <c r="R21" s="2"/>
      <c r="S21" s="2"/>
      <c r="T21" s="2"/>
      <c r="U21" s="2"/>
      <c r="V21" s="2"/>
      <c r="W21" s="2"/>
    </row>
    <row r="22" spans="1:23" x14ac:dyDescent="0.3">
      <c r="A22" s="2"/>
      <c r="B22" s="2"/>
      <c r="C22" s="2"/>
      <c r="D22" s="2"/>
      <c r="E22" s="2"/>
      <c r="F22" s="2"/>
      <c r="G22" s="2"/>
      <c r="H22" s="2"/>
      <c r="I22" s="2"/>
      <c r="J22" s="2"/>
      <c r="K22" s="2"/>
      <c r="L22" s="2"/>
      <c r="M22" s="2"/>
      <c r="N22" s="2"/>
      <c r="O22" s="2"/>
      <c r="P22" s="2"/>
      <c r="Q22" s="2"/>
      <c r="R22" s="2"/>
      <c r="S22" s="2"/>
      <c r="T22" s="2"/>
      <c r="U22" s="2"/>
      <c r="V22" s="2"/>
      <c r="W22" s="2"/>
    </row>
    <row r="23" spans="1:23" x14ac:dyDescent="0.3">
      <c r="A23" s="2"/>
      <c r="B23" s="2"/>
      <c r="C23" s="2"/>
      <c r="D23" s="2"/>
      <c r="E23" s="2"/>
      <c r="F23" s="2"/>
      <c r="G23" s="2"/>
      <c r="H23" s="2"/>
      <c r="I23" s="2"/>
      <c r="J23" s="2"/>
      <c r="K23" s="2"/>
      <c r="L23" s="2"/>
      <c r="M23" s="2"/>
      <c r="N23" s="2"/>
      <c r="O23" s="2"/>
      <c r="P23" s="2"/>
      <c r="Q23" s="2"/>
      <c r="R23" s="2"/>
      <c r="S23" s="2"/>
      <c r="T23" s="2"/>
      <c r="U23" s="2"/>
      <c r="V23" s="2"/>
      <c r="W23" s="2"/>
    </row>
    <row r="24" spans="1:23" x14ac:dyDescent="0.3">
      <c r="A24" s="2"/>
      <c r="B24" s="2"/>
      <c r="C24" s="2"/>
      <c r="D24" s="2"/>
      <c r="E24" s="2"/>
      <c r="F24" s="2"/>
      <c r="G24" s="2"/>
      <c r="H24" s="2"/>
      <c r="I24" s="2"/>
      <c r="J24" s="2"/>
      <c r="K24" s="2"/>
      <c r="L24" s="2"/>
      <c r="M24" s="2"/>
      <c r="N24" s="2"/>
      <c r="O24" s="2"/>
      <c r="P24" s="2"/>
      <c r="Q24" s="2"/>
      <c r="R24" s="2"/>
      <c r="S24" s="2"/>
      <c r="T24" s="2"/>
      <c r="U24" s="2"/>
      <c r="V24" s="2"/>
      <c r="W24" s="2"/>
    </row>
    <row r="25" spans="1:23" x14ac:dyDescent="0.3">
      <c r="A25" s="2"/>
      <c r="B25" s="2"/>
      <c r="C25" s="2"/>
      <c r="D25" s="2"/>
      <c r="E25" s="2"/>
      <c r="F25" s="2"/>
      <c r="G25" s="2"/>
      <c r="H25" s="2"/>
      <c r="I25" s="2"/>
      <c r="J25" s="2"/>
      <c r="K25" s="2"/>
      <c r="L25" s="2"/>
      <c r="M25" s="2"/>
      <c r="N25" s="2"/>
      <c r="O25" s="2"/>
      <c r="P25" s="2"/>
      <c r="Q25" s="2"/>
      <c r="R25" s="2"/>
      <c r="S25" s="2"/>
      <c r="T25" s="2"/>
      <c r="U25" s="2"/>
      <c r="V25" s="2"/>
      <c r="W25"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14F43-1E14-4568-A079-95810AEA3B22}">
  <dimension ref="A1:I22"/>
  <sheetViews>
    <sheetView workbookViewId="0"/>
  </sheetViews>
  <sheetFormatPr defaultRowHeight="14.4" x14ac:dyDescent="0.3"/>
  <sheetData>
    <row r="1" spans="1:9" x14ac:dyDescent="0.3">
      <c r="A1" s="7"/>
      <c r="B1" s="7"/>
      <c r="C1" s="7"/>
      <c r="D1" s="7"/>
      <c r="E1" s="7"/>
      <c r="F1" s="7"/>
      <c r="G1" s="7"/>
      <c r="H1" s="7"/>
      <c r="I1" s="7"/>
    </row>
    <row r="2" spans="1:9" x14ac:dyDescent="0.3">
      <c r="A2" s="7"/>
      <c r="B2" s="7"/>
      <c r="C2" s="7"/>
      <c r="D2" s="7"/>
      <c r="E2" s="7"/>
      <c r="F2" s="7"/>
      <c r="G2" s="7"/>
      <c r="H2" s="7"/>
      <c r="I2" s="7"/>
    </row>
    <row r="3" spans="1:9" x14ac:dyDescent="0.3">
      <c r="A3" s="7"/>
      <c r="B3" s="7"/>
      <c r="C3" s="7"/>
      <c r="D3" s="7"/>
      <c r="E3" s="7"/>
      <c r="F3" s="7"/>
      <c r="G3" s="7"/>
      <c r="H3" s="7"/>
      <c r="I3" s="7"/>
    </row>
    <row r="4" spans="1:9" x14ac:dyDescent="0.3">
      <c r="A4" s="7"/>
      <c r="B4" s="7"/>
      <c r="C4" s="7"/>
      <c r="D4" s="7"/>
      <c r="E4" s="7"/>
      <c r="F4" s="7"/>
      <c r="G4" s="7"/>
      <c r="H4" s="7"/>
      <c r="I4" s="7"/>
    </row>
    <row r="5" spans="1:9" x14ac:dyDescent="0.3">
      <c r="A5" s="7"/>
      <c r="B5" s="7"/>
      <c r="C5" s="7"/>
      <c r="D5" s="7"/>
      <c r="E5" s="7"/>
      <c r="F5" s="7"/>
      <c r="G5" s="7"/>
      <c r="H5" s="7"/>
      <c r="I5" s="7"/>
    </row>
    <row r="6" spans="1:9" x14ac:dyDescent="0.3">
      <c r="A6" s="7"/>
      <c r="B6" s="7"/>
      <c r="C6" s="7"/>
      <c r="D6" s="7"/>
      <c r="E6" s="7"/>
      <c r="F6" s="7"/>
      <c r="G6" s="7"/>
      <c r="H6" s="7"/>
      <c r="I6" s="7"/>
    </row>
    <row r="7" spans="1:9" x14ac:dyDescent="0.3">
      <c r="A7" s="7"/>
      <c r="B7" s="7"/>
      <c r="C7" s="7"/>
      <c r="D7" s="7"/>
      <c r="E7" s="7"/>
      <c r="F7" s="7"/>
      <c r="G7" s="7"/>
      <c r="H7" s="7"/>
      <c r="I7" s="7"/>
    </row>
    <row r="8" spans="1:9" x14ac:dyDescent="0.3">
      <c r="A8" s="7"/>
      <c r="B8" s="7"/>
      <c r="C8" s="7"/>
      <c r="D8" s="7"/>
      <c r="E8" s="7"/>
      <c r="F8" s="7"/>
      <c r="G8" s="7"/>
      <c r="H8" s="7"/>
      <c r="I8" s="7"/>
    </row>
    <row r="9" spans="1:9" x14ac:dyDescent="0.3">
      <c r="A9" s="7"/>
      <c r="B9" s="7"/>
      <c r="C9" s="7"/>
      <c r="D9" s="7"/>
      <c r="E9" s="7"/>
      <c r="F9" s="7"/>
      <c r="G9" s="7"/>
      <c r="H9" s="7"/>
      <c r="I9" s="7"/>
    </row>
    <row r="10" spans="1:9" x14ac:dyDescent="0.3">
      <c r="A10" s="7"/>
      <c r="B10" s="7"/>
      <c r="C10" s="7"/>
      <c r="D10" s="7"/>
      <c r="E10" s="7"/>
      <c r="F10" s="7"/>
      <c r="G10" s="7"/>
      <c r="H10" s="7"/>
      <c r="I10" s="7"/>
    </row>
    <row r="11" spans="1:9" x14ac:dyDescent="0.3">
      <c r="A11" s="7"/>
      <c r="B11" s="7"/>
      <c r="C11" s="7"/>
      <c r="D11" s="7"/>
      <c r="E11" s="7"/>
      <c r="F11" s="7"/>
      <c r="G11" s="7"/>
      <c r="H11" s="7"/>
      <c r="I11" s="7"/>
    </row>
    <row r="12" spans="1:9" x14ac:dyDescent="0.3">
      <c r="A12" s="7"/>
      <c r="B12" s="7"/>
      <c r="C12" s="7"/>
      <c r="D12" s="7"/>
      <c r="E12" s="7"/>
      <c r="F12" s="7"/>
      <c r="G12" s="7"/>
      <c r="H12" s="7"/>
      <c r="I12" s="7"/>
    </row>
    <row r="13" spans="1:9" x14ac:dyDescent="0.3">
      <c r="A13" s="7"/>
      <c r="B13" s="7"/>
      <c r="C13" s="7"/>
      <c r="D13" s="7"/>
      <c r="E13" s="7"/>
      <c r="F13" s="7"/>
      <c r="G13" s="7"/>
      <c r="H13" s="7"/>
      <c r="I13" s="7"/>
    </row>
    <row r="14" spans="1:9" x14ac:dyDescent="0.3">
      <c r="A14" s="7"/>
      <c r="B14" s="7"/>
      <c r="C14" s="7"/>
      <c r="D14" s="7"/>
      <c r="E14" s="7"/>
      <c r="F14" s="7"/>
      <c r="G14" s="7"/>
      <c r="H14" s="7"/>
      <c r="I14" s="7"/>
    </row>
    <row r="15" spans="1:9" x14ac:dyDescent="0.3">
      <c r="A15" s="7"/>
      <c r="B15" s="7"/>
      <c r="C15" s="7"/>
      <c r="D15" s="7"/>
      <c r="E15" s="7"/>
      <c r="F15" s="7"/>
      <c r="G15" s="7"/>
      <c r="H15" s="7"/>
      <c r="I15" s="7"/>
    </row>
    <row r="16" spans="1:9" x14ac:dyDescent="0.3">
      <c r="A16" s="7"/>
      <c r="B16" s="7"/>
      <c r="C16" s="7"/>
      <c r="D16" s="7"/>
      <c r="E16" s="7"/>
      <c r="F16" s="7"/>
      <c r="G16" s="7"/>
      <c r="H16" s="7"/>
      <c r="I16" s="7"/>
    </row>
    <row r="17" spans="1:9" x14ac:dyDescent="0.3">
      <c r="A17" s="7"/>
      <c r="B17" s="7"/>
      <c r="C17" s="7"/>
      <c r="D17" s="7"/>
      <c r="E17" s="7"/>
      <c r="F17" s="7"/>
      <c r="G17" s="7"/>
      <c r="H17" s="7"/>
      <c r="I17" s="7"/>
    </row>
    <row r="18" spans="1:9" x14ac:dyDescent="0.3">
      <c r="A18" s="7"/>
      <c r="B18" s="7"/>
      <c r="C18" s="7"/>
      <c r="D18" s="7"/>
      <c r="E18" s="7"/>
      <c r="F18" s="7"/>
      <c r="G18" s="7"/>
      <c r="H18" s="7"/>
      <c r="I18" s="7"/>
    </row>
    <row r="19" spans="1:9" x14ac:dyDescent="0.3">
      <c r="A19" s="7"/>
      <c r="B19" s="7"/>
      <c r="C19" s="7"/>
      <c r="D19" s="7"/>
      <c r="E19" s="7"/>
      <c r="F19" s="7"/>
      <c r="G19" s="7"/>
      <c r="H19" s="7"/>
      <c r="I19" s="7"/>
    </row>
    <row r="21" spans="1:9" x14ac:dyDescent="0.3">
      <c r="B21" s="6" t="s">
        <v>40</v>
      </c>
    </row>
    <row r="22" spans="1:9" x14ac:dyDescent="0.3">
      <c r="B22" s="6" t="s">
        <v>41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B535E-DD2A-4AE8-A814-3A1464002B6A}">
  <dimension ref="A1:H18"/>
  <sheetViews>
    <sheetView workbookViewId="0"/>
  </sheetViews>
  <sheetFormatPr defaultRowHeight="14.4" x14ac:dyDescent="0.3"/>
  <sheetData>
    <row r="1" spans="1:8" x14ac:dyDescent="0.3">
      <c r="A1" s="2"/>
      <c r="B1" s="2"/>
      <c r="C1" s="2"/>
      <c r="D1" s="2"/>
      <c r="E1" s="2"/>
      <c r="F1" s="2"/>
      <c r="G1" s="2"/>
      <c r="H1" s="2"/>
    </row>
    <row r="2" spans="1:8" x14ac:dyDescent="0.3">
      <c r="A2" s="2"/>
      <c r="B2" s="2"/>
      <c r="C2" s="2"/>
      <c r="D2" s="2"/>
      <c r="E2" s="2"/>
      <c r="F2" s="2"/>
      <c r="G2" s="2"/>
      <c r="H2" s="2"/>
    </row>
    <row r="3" spans="1:8" x14ac:dyDescent="0.3">
      <c r="A3" s="2"/>
      <c r="B3" s="2"/>
      <c r="C3" s="2"/>
      <c r="D3" s="2"/>
      <c r="E3" s="2"/>
      <c r="F3" s="2"/>
      <c r="G3" s="2"/>
      <c r="H3" s="2"/>
    </row>
    <row r="4" spans="1:8" x14ac:dyDescent="0.3">
      <c r="A4" s="2"/>
      <c r="B4" s="2"/>
      <c r="C4" s="2"/>
      <c r="D4" s="2"/>
      <c r="E4" s="2"/>
      <c r="F4" s="2"/>
      <c r="G4" s="2"/>
      <c r="H4" s="2"/>
    </row>
    <row r="5" spans="1:8" x14ac:dyDescent="0.3">
      <c r="A5" s="2"/>
      <c r="B5" s="2"/>
      <c r="C5" s="2"/>
      <c r="D5" s="2"/>
      <c r="E5" s="2"/>
      <c r="F5" s="2"/>
      <c r="G5" s="2"/>
      <c r="H5" s="2"/>
    </row>
    <row r="6" spans="1:8" x14ac:dyDescent="0.3">
      <c r="A6" s="2"/>
      <c r="B6" s="2"/>
      <c r="C6" s="2"/>
      <c r="D6" s="2"/>
      <c r="E6" s="2"/>
      <c r="F6" s="2"/>
      <c r="G6" s="2"/>
      <c r="H6" s="2"/>
    </row>
    <row r="7" spans="1:8" x14ac:dyDescent="0.3">
      <c r="A7" s="2"/>
      <c r="B7" s="2"/>
      <c r="C7" s="2"/>
      <c r="D7" s="2"/>
      <c r="E7" s="2"/>
      <c r="F7" s="2"/>
      <c r="G7" s="2"/>
      <c r="H7" s="2"/>
    </row>
    <row r="8" spans="1:8" x14ac:dyDescent="0.3">
      <c r="A8" s="2"/>
      <c r="B8" s="2"/>
      <c r="C8" s="2"/>
      <c r="D8" s="2"/>
      <c r="E8" s="2"/>
      <c r="F8" s="2"/>
      <c r="G8" s="2"/>
      <c r="H8" s="2"/>
    </row>
    <row r="9" spans="1:8" x14ac:dyDescent="0.3">
      <c r="A9" s="2"/>
      <c r="B9" s="2"/>
      <c r="C9" s="2"/>
      <c r="D9" s="2"/>
      <c r="E9" s="2"/>
      <c r="F9" s="2"/>
      <c r="G9" s="2"/>
      <c r="H9" s="2"/>
    </row>
    <row r="10" spans="1:8" x14ac:dyDescent="0.3">
      <c r="A10" s="2"/>
      <c r="B10" s="2"/>
      <c r="C10" s="2"/>
      <c r="D10" s="2"/>
      <c r="E10" s="2"/>
      <c r="F10" s="2"/>
      <c r="G10" s="2"/>
      <c r="H10" s="2"/>
    </row>
    <row r="11" spans="1:8" x14ac:dyDescent="0.3">
      <c r="A11" s="2"/>
      <c r="B11" s="2"/>
      <c r="C11" s="2"/>
      <c r="D11" s="2"/>
      <c r="E11" s="2"/>
      <c r="F11" s="2"/>
      <c r="G11" s="2"/>
      <c r="H11" s="2"/>
    </row>
    <row r="12" spans="1:8" x14ac:dyDescent="0.3">
      <c r="A12" s="2"/>
      <c r="B12" s="2"/>
      <c r="C12" s="2"/>
      <c r="D12" s="2"/>
      <c r="E12" s="2"/>
      <c r="F12" s="2"/>
      <c r="G12" s="2"/>
      <c r="H12" s="2"/>
    </row>
    <row r="13" spans="1:8" x14ac:dyDescent="0.3">
      <c r="A13" s="2"/>
      <c r="B13" s="2"/>
      <c r="C13" s="2"/>
      <c r="D13" s="2"/>
      <c r="E13" s="2"/>
      <c r="F13" s="2"/>
      <c r="G13" s="2"/>
      <c r="H13" s="2"/>
    </row>
    <row r="14" spans="1:8" x14ac:dyDescent="0.3">
      <c r="A14" s="2"/>
      <c r="B14" s="2"/>
      <c r="C14" s="2"/>
      <c r="D14" s="2"/>
      <c r="E14" s="2"/>
      <c r="F14" s="2"/>
      <c r="G14" s="2"/>
      <c r="H14" s="2"/>
    </row>
    <row r="15" spans="1:8" x14ac:dyDescent="0.3">
      <c r="A15" s="2"/>
      <c r="B15" s="2"/>
      <c r="C15" s="2"/>
      <c r="D15" s="2"/>
      <c r="E15" s="2"/>
      <c r="F15" s="2"/>
      <c r="G15" s="2"/>
      <c r="H15" s="2"/>
    </row>
    <row r="16" spans="1:8" x14ac:dyDescent="0.3">
      <c r="A16" s="2"/>
      <c r="B16" s="2"/>
      <c r="C16" s="2"/>
      <c r="D16" s="2"/>
      <c r="E16" s="2"/>
      <c r="F16" s="2"/>
      <c r="G16" s="2"/>
      <c r="H16" s="2"/>
    </row>
    <row r="18" spans="4:4" x14ac:dyDescent="0.3">
      <c r="D18" s="6" t="s">
        <v>45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E49FA-94AB-48C0-A4D2-036D9BBE9697}">
  <dimension ref="A1:H18"/>
  <sheetViews>
    <sheetView workbookViewId="0"/>
  </sheetViews>
  <sheetFormatPr defaultRowHeight="14.4" x14ac:dyDescent="0.3"/>
  <sheetData>
    <row r="1" spans="1:8" x14ac:dyDescent="0.3">
      <c r="A1" s="2"/>
      <c r="B1" s="2"/>
      <c r="C1" s="2"/>
      <c r="D1" s="2"/>
      <c r="E1" s="2"/>
      <c r="F1" s="2"/>
      <c r="G1" s="2"/>
      <c r="H1" s="2"/>
    </row>
    <row r="2" spans="1:8" x14ac:dyDescent="0.3">
      <c r="A2" s="2"/>
      <c r="B2" s="2"/>
      <c r="C2" s="2"/>
      <c r="D2" s="2"/>
      <c r="E2" s="2"/>
      <c r="F2" s="2"/>
      <c r="G2" s="2"/>
      <c r="H2" s="2"/>
    </row>
    <row r="3" spans="1:8" x14ac:dyDescent="0.3">
      <c r="A3" s="2"/>
      <c r="B3" s="2"/>
      <c r="C3" s="2"/>
      <c r="D3" s="2"/>
      <c r="E3" s="2"/>
      <c r="F3" s="2"/>
      <c r="G3" s="2"/>
      <c r="H3" s="2"/>
    </row>
    <row r="4" spans="1:8" x14ac:dyDescent="0.3">
      <c r="A4" s="2"/>
      <c r="B4" s="2"/>
      <c r="C4" s="2"/>
      <c r="D4" s="2"/>
      <c r="E4" s="2"/>
      <c r="F4" s="2"/>
      <c r="G4" s="2"/>
      <c r="H4" s="2"/>
    </row>
    <row r="5" spans="1:8" x14ac:dyDescent="0.3">
      <c r="A5" s="2"/>
      <c r="B5" s="2"/>
      <c r="C5" s="2"/>
      <c r="D5" s="2"/>
      <c r="E5" s="2"/>
      <c r="F5" s="2"/>
      <c r="G5" s="2"/>
      <c r="H5" s="2"/>
    </row>
    <row r="6" spans="1:8" x14ac:dyDescent="0.3">
      <c r="A6" s="2"/>
      <c r="B6" s="2"/>
      <c r="C6" s="2"/>
      <c r="D6" s="2"/>
      <c r="E6" s="2"/>
      <c r="F6" s="2"/>
      <c r="G6" s="2"/>
      <c r="H6" s="2"/>
    </row>
    <row r="7" spans="1:8" x14ac:dyDescent="0.3">
      <c r="A7" s="2"/>
      <c r="B7" s="2"/>
      <c r="C7" s="2"/>
      <c r="D7" s="2"/>
      <c r="E7" s="2"/>
      <c r="F7" s="2"/>
      <c r="G7" s="2"/>
      <c r="H7" s="2"/>
    </row>
    <row r="8" spans="1:8" x14ac:dyDescent="0.3">
      <c r="A8" s="2"/>
      <c r="B8" s="2"/>
      <c r="C8" s="2"/>
      <c r="D8" s="2"/>
      <c r="E8" s="2"/>
      <c r="F8" s="2"/>
      <c r="G8" s="2"/>
      <c r="H8" s="2"/>
    </row>
    <row r="9" spans="1:8" x14ac:dyDescent="0.3">
      <c r="A9" s="2"/>
      <c r="B9" s="2"/>
      <c r="C9" s="2"/>
      <c r="D9" s="2"/>
      <c r="E9" s="2"/>
      <c r="F9" s="2"/>
      <c r="G9" s="2"/>
      <c r="H9" s="2"/>
    </row>
    <row r="10" spans="1:8" x14ac:dyDescent="0.3">
      <c r="A10" s="2"/>
      <c r="B10" s="2"/>
      <c r="C10" s="2"/>
      <c r="D10" s="2"/>
      <c r="E10" s="2"/>
      <c r="F10" s="2"/>
      <c r="G10" s="2"/>
      <c r="H10" s="2"/>
    </row>
    <row r="11" spans="1:8" x14ac:dyDescent="0.3">
      <c r="A11" s="2"/>
      <c r="B11" s="2"/>
      <c r="C11" s="2"/>
      <c r="D11" s="2"/>
      <c r="E11" s="2"/>
      <c r="F11" s="2"/>
      <c r="G11" s="2"/>
      <c r="H11" s="2"/>
    </row>
    <row r="12" spans="1:8" x14ac:dyDescent="0.3">
      <c r="A12" s="2"/>
      <c r="B12" s="2"/>
      <c r="C12" s="2"/>
      <c r="D12" s="2"/>
      <c r="E12" s="2"/>
      <c r="F12" s="2"/>
      <c r="G12" s="2"/>
      <c r="H12" s="2"/>
    </row>
    <row r="13" spans="1:8" x14ac:dyDescent="0.3">
      <c r="A13" s="2"/>
      <c r="B13" s="2"/>
      <c r="C13" s="2"/>
      <c r="D13" s="2"/>
      <c r="E13" s="2"/>
      <c r="F13" s="2"/>
      <c r="G13" s="2"/>
      <c r="H13" s="2"/>
    </row>
    <row r="14" spans="1:8" x14ac:dyDescent="0.3">
      <c r="A14" s="2"/>
      <c r="B14" s="2"/>
      <c r="C14" s="2"/>
      <c r="D14" s="2"/>
      <c r="E14" s="2"/>
      <c r="F14" s="2"/>
      <c r="G14" s="2"/>
      <c r="H14" s="2"/>
    </row>
    <row r="15" spans="1:8" x14ac:dyDescent="0.3">
      <c r="A15" s="2"/>
      <c r="B15" s="2"/>
      <c r="C15" s="2"/>
      <c r="D15" s="2"/>
      <c r="E15" s="2"/>
      <c r="F15" s="2"/>
      <c r="G15" s="2"/>
      <c r="H15" s="2"/>
    </row>
    <row r="16" spans="1:8" x14ac:dyDescent="0.3">
      <c r="A16" s="2"/>
      <c r="B16" s="2"/>
      <c r="C16" s="2"/>
      <c r="D16" s="2"/>
      <c r="E16" s="2"/>
      <c r="F16" s="2"/>
      <c r="G16" s="2"/>
      <c r="H16" s="2"/>
    </row>
    <row r="18" spans="4:4" x14ac:dyDescent="0.3">
      <c r="D18" s="6" t="s">
        <v>47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173F792-EEB0-4069-A881-11D3E0832305}">
  <ds:schemaRefs/>
</ds:datastoreItem>
</file>

<file path=customXml/itemProps2.xml><?xml version="1.0" encoding="utf-8"?>
<ds:datastoreItem xmlns:ds="http://schemas.openxmlformats.org/officeDocument/2006/customXml" ds:itemID="{1B094A77-9EE4-4173-88BC-C12BA5E28A38}">
  <ds:schemaRefs/>
</ds:datastoreItem>
</file>

<file path=customXml/itemProps3.xml><?xml version="1.0" encoding="utf-8"?>
<ds:datastoreItem xmlns:ds="http://schemas.openxmlformats.org/officeDocument/2006/customXml" ds:itemID="{3CB4731E-DAEA-4F88-9D82-5C0C7B9F0C2A}">
  <ds:schemaRefs/>
</ds:datastoreItem>
</file>

<file path=customXml/itemProps4.xml><?xml version="1.0" encoding="utf-8"?>
<ds:datastoreItem xmlns:ds="http://schemas.openxmlformats.org/officeDocument/2006/customXml" ds:itemID="{BC588A71-ABEC-4959-B3E9-3933D9BB5561}">
  <ds:schemaRefs/>
</ds:datastoreItem>
</file>

<file path=customXml/itemProps5.xml><?xml version="1.0" encoding="utf-8"?>
<ds:datastoreItem xmlns:ds="http://schemas.openxmlformats.org/officeDocument/2006/customXml" ds:itemID="{F09169F9-6434-4987-9DCC-27128904CE1F}">
  <ds:schemaRefs/>
</ds:datastoreItem>
</file>

<file path=customXml/itemProps6.xml><?xml version="1.0" encoding="utf-8"?>
<ds:datastoreItem xmlns:ds="http://schemas.openxmlformats.org/officeDocument/2006/customXml" ds:itemID="{EDF49CDD-74A3-4938-A539-BE6A4BF2F4CD}">
  <ds:schemaRefs/>
</ds:datastoreItem>
</file>

<file path=customXml/itemProps7.xml><?xml version="1.0" encoding="utf-8"?>
<ds:datastoreItem xmlns:ds="http://schemas.openxmlformats.org/officeDocument/2006/customXml" ds:itemID="{14A45E2E-E19F-4859-A019-34475DA1F867}">
  <ds:schemaRefs/>
</ds:datastoreItem>
</file>

<file path=customXml/itemProps8.xml><?xml version="1.0" encoding="utf-8"?>
<ds:datastoreItem xmlns:ds="http://schemas.openxmlformats.org/officeDocument/2006/customXml" ds:itemID="{A89C71E3-2056-472E-A18E-C5494B04524A}">
  <ds:schemaRefs/>
</ds:datastoreItem>
</file>

<file path=customXml/itemProps9.xml><?xml version="1.0" encoding="utf-8"?>
<ds:datastoreItem xmlns:ds="http://schemas.openxmlformats.org/officeDocument/2006/customXml" ds:itemID="{34FE01EF-8E2C-4520-ACCA-B25D58FAC66C}">
  <ds:schemaRefs/>
</ds:datastoreItem>
</file>

<file path=customXml/itemProps10.xml><?xml version="1.0" encoding="utf-8"?>
<ds:datastoreItem xmlns:ds="http://schemas.openxmlformats.org/officeDocument/2006/customXml" ds:itemID="{7D726C2B-3ADD-44E4-B839-1B8E558E3CEF}">
  <ds:schemaRefs/>
</ds:datastoreItem>
</file>

<file path=customXml/itemProps11.xml><?xml version="1.0" encoding="utf-8"?>
<ds:datastoreItem xmlns:ds="http://schemas.openxmlformats.org/officeDocument/2006/customXml" ds:itemID="{76FE9305-8928-42E8-9BB7-A23156FBE238}">
  <ds:schemaRefs/>
</ds:datastoreItem>
</file>

<file path=customXml/itemProps12.xml><?xml version="1.0" encoding="utf-8"?>
<ds:datastoreItem xmlns:ds="http://schemas.openxmlformats.org/officeDocument/2006/customXml" ds:itemID="{FA6967ED-0673-4D35-B217-12E0E8E8EAAC}">
  <ds:schemaRefs/>
</ds:datastoreItem>
</file>

<file path=customXml/itemProps13.xml><?xml version="1.0" encoding="utf-8"?>
<ds:datastoreItem xmlns:ds="http://schemas.openxmlformats.org/officeDocument/2006/customXml" ds:itemID="{99F26860-4211-45BF-A923-D1A941BE25EC}">
  <ds:schemaRefs>
    <ds:schemaRef ds:uri="http://schemas.microsoft.com/DataMashup"/>
  </ds:schemaRefs>
</ds:datastoreItem>
</file>

<file path=customXml/itemProps14.xml><?xml version="1.0" encoding="utf-8"?>
<ds:datastoreItem xmlns:ds="http://schemas.openxmlformats.org/officeDocument/2006/customXml" ds:itemID="{99E738AD-0145-4AD6-902F-B2F5830B68CD}">
  <ds:schemaRefs/>
</ds:datastoreItem>
</file>

<file path=customXml/itemProps15.xml><?xml version="1.0" encoding="utf-8"?>
<ds:datastoreItem xmlns:ds="http://schemas.openxmlformats.org/officeDocument/2006/customXml" ds:itemID="{3137A567-B474-4A94-9E99-F55C6FE5B6C1}">
  <ds:schemaRefs/>
</ds:datastoreItem>
</file>

<file path=customXml/itemProps16.xml><?xml version="1.0" encoding="utf-8"?>
<ds:datastoreItem xmlns:ds="http://schemas.openxmlformats.org/officeDocument/2006/customXml" ds:itemID="{C545FCDF-F324-4409-91CB-07E903FFA0E3}">
  <ds:schemaRefs/>
</ds:datastoreItem>
</file>

<file path=customXml/itemProps17.xml><?xml version="1.0" encoding="utf-8"?>
<ds:datastoreItem xmlns:ds="http://schemas.openxmlformats.org/officeDocument/2006/customXml" ds:itemID="{25A53A4C-9CBE-4813-BFF9-EEC2A04713A9}">
  <ds:schemaRefs/>
</ds:datastoreItem>
</file>

<file path=customXml/itemProps18.xml><?xml version="1.0" encoding="utf-8"?>
<ds:datastoreItem xmlns:ds="http://schemas.openxmlformats.org/officeDocument/2006/customXml" ds:itemID="{D7B5F7AD-864E-45F4-9439-5BE5B5CF2F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visit</vt:lpstr>
      <vt:lpstr>Avg Wait time</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BHANU SOLANKI</dc:creator>
  <cp:lastModifiedBy>BHANU SOLANKI</cp:lastModifiedBy>
  <dcterms:created xsi:type="dcterms:W3CDTF">2026-06-29T10:25:12Z</dcterms:created>
  <dcterms:modified xsi:type="dcterms:W3CDTF">2026-06-30T11:45:13Z</dcterms:modified>
</cp:coreProperties>
</file>